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6_Export" sheetId="1" state="visible" r:id="rId3"/>
    <sheet name="Activities" sheetId="2" state="visible" r:id="rId4"/>
    <sheet name="RiskDrivers" sheetId="3" state="visible" r:id="rId5"/>
    <sheet name="說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<sst xmlns="http://schemas.openxmlformats.org/spreadsheetml/2006/main" count="74" uniqueCount="66">
  <si>
    <t xml:space="preserve">Activity ID</t>
  </si>
  <si>
    <t xml:space="preserve">Activity Name</t>
  </si>
  <si>
    <t xml:space="preserve">Original Duration (days)</t>
  </si>
  <si>
    <t xml:space="preserve">Predecessors</t>
  </si>
  <si>
    <t xml:space="preserve">A1000</t>
  </si>
  <si>
    <t xml:space="preserve">MEP &amp; E&amp;I Installation</t>
  </si>
  <si>
    <r>
      <rPr>
        <sz val="10"/>
        <color rgb="FF595959"/>
        <rFont val="Noto Sans CJK SC"/>
        <family val="2"/>
      </rPr>
      <t xml:space="preserve">← 範例資料：貼上你自己的 </t>
    </r>
    <r>
      <rPr>
        <sz val="10"/>
        <color rgb="FF595959"/>
        <rFont val="Arial"/>
        <family val="0"/>
        <charset val="1"/>
      </rPr>
      <t xml:space="preserve">P6 </t>
    </r>
    <r>
      <rPr>
        <sz val="10"/>
        <color rgb="FF595959"/>
        <rFont val="Noto Sans CJK SC"/>
        <family val="2"/>
      </rPr>
      <t xml:space="preserve">匯出時請整批覆蓋（從 </t>
    </r>
    <r>
      <rPr>
        <sz val="10"/>
        <color rgb="FF595959"/>
        <rFont val="Arial"/>
        <family val="0"/>
        <charset val="1"/>
      </rPr>
      <t xml:space="preserve">A2 </t>
    </r>
    <r>
      <rPr>
        <sz val="10"/>
        <color rgb="FF595959"/>
        <rFont val="Noto Sans CJK SC"/>
        <family val="2"/>
      </rPr>
      <t xml:space="preserve">開始貼）</t>
    </r>
  </si>
  <si>
    <t xml:space="preserve">A1010</t>
  </si>
  <si>
    <t xml:space="preserve">L3 Power Distribution PFT</t>
  </si>
  <si>
    <t xml:space="preserve">A1020</t>
  </si>
  <si>
    <t xml:space="preserve">L3 Cooling Systems PFT</t>
  </si>
  <si>
    <t xml:space="preserve">A1030</t>
  </si>
  <si>
    <t xml:space="preserve">L4 Power Distribution FPT</t>
  </si>
  <si>
    <t xml:space="preserve">A1040</t>
  </si>
  <si>
    <t xml:space="preserve">L4 Cooling Systems FPT</t>
  </si>
  <si>
    <t xml:space="preserve">M1000</t>
  </si>
  <si>
    <t xml:space="preserve">Ready for IST (Milestone)</t>
  </si>
  <si>
    <t xml:space="preserve">A1030, A1040</t>
  </si>
  <si>
    <t xml:space="preserve">A1050</t>
  </si>
  <si>
    <t xml:space="preserve">L5 Integrated Systems Test</t>
  </si>
  <si>
    <t xml:space="preserve">id</t>
  </si>
  <si>
    <t xml:space="preserve">name</t>
  </si>
  <si>
    <t xml:space="preserve">predecessors</t>
  </si>
  <si>
    <t xml:space="preserve">dist_type</t>
  </si>
  <si>
    <t xml:space="preserve">param_a</t>
  </si>
  <si>
    <t xml:space="preserve">param_m</t>
  </si>
  <si>
    <t xml:space="preserve">param_b</t>
  </si>
  <si>
    <t xml:space="preserve">param_mu</t>
  </si>
  <si>
    <t xml:space="preserve">param_sigma</t>
  </si>
  <si>
    <t xml:space="preserve">deterministic_duration</t>
  </si>
  <si>
    <t xml:space="preserve">probability</t>
  </si>
  <si>
    <t xml:space="preserve">impact_type</t>
  </si>
  <si>
    <t xml:space="preserve">impact_a</t>
  </si>
  <si>
    <t xml:space="preserve">impact_b</t>
  </si>
  <si>
    <t xml:space="preserve">impact_m</t>
  </si>
  <si>
    <t xml:space="preserve">assigned_activities</t>
  </si>
  <si>
    <t xml:space="preserve">RD-001</t>
  </si>
  <si>
    <t xml:space="preserve">Vendor Equipment Delay</t>
  </si>
  <si>
    <t xml:space="preserve">triangular</t>
  </si>
  <si>
    <t xml:space="preserve">A1010;A1020</t>
  </si>
  <si>
    <t xml:space="preserve">RD-002</t>
  </si>
  <si>
    <t xml:space="preserve">Commissioning Staff Availability</t>
  </si>
  <si>
    <t xml:space="preserve">A1030;A1040;A1050</t>
  </si>
  <si>
    <r>
      <rPr>
        <b val="true"/>
        <sz val="14"/>
        <rFont val="Arial"/>
        <family val="0"/>
        <charset val="1"/>
      </rPr>
      <t xml:space="preserve">Converge P6 </t>
    </r>
    <r>
      <rPr>
        <b val="true"/>
        <sz val="14"/>
        <rFont val="Noto Sans CJK SC"/>
        <family val="2"/>
      </rPr>
      <t xml:space="preserve">匯入範本 — 使用說明</t>
    </r>
  </si>
  <si>
    <r>
      <rPr>
        <b val="true"/>
        <sz val="11"/>
        <rFont val="Noto Sans CJK SC"/>
        <family val="2"/>
      </rPr>
      <t xml:space="preserve">■ 操作步驟（你只需要碰 </t>
    </r>
    <r>
      <rPr>
        <b val="true"/>
        <sz val="11"/>
        <rFont val="Arial"/>
        <family val="0"/>
        <charset val="1"/>
      </rPr>
      <t xml:space="preserve">P6_Export </t>
    </r>
    <r>
      <rPr>
        <b val="true"/>
        <sz val="11"/>
        <rFont val="Noto Sans CJK SC"/>
        <family val="2"/>
      </rPr>
      <t xml:space="preserve">和 </t>
    </r>
    <r>
      <rPr>
        <b val="true"/>
        <sz val="11"/>
        <rFont val="Arial"/>
        <family val="0"/>
        <charset val="1"/>
      </rPr>
      <t xml:space="preserve">RiskDrivers </t>
    </r>
    <r>
      <rPr>
        <b val="true"/>
        <sz val="11"/>
        <rFont val="Noto Sans CJK SC"/>
        <family val="2"/>
      </rPr>
      <t xml:space="preserve">兩張表）</t>
    </r>
  </si>
  <si>
    <r>
      <rPr>
        <sz val="10"/>
        <color rgb="FF595959"/>
        <rFont val="Arial"/>
        <family val="0"/>
        <charset val="1"/>
      </rPr>
      <t xml:space="preserve">1. </t>
    </r>
    <r>
      <rPr>
        <sz val="10"/>
        <color rgb="FF595959"/>
        <rFont val="Noto Sans CJK SC"/>
        <family val="2"/>
      </rPr>
      <t xml:space="preserve">從 </t>
    </r>
    <r>
      <rPr>
        <sz val="10"/>
        <color rgb="FF595959"/>
        <rFont val="Arial"/>
        <family val="0"/>
        <charset val="1"/>
      </rPr>
      <t xml:space="preserve">P6 </t>
    </r>
    <r>
      <rPr>
        <sz val="10"/>
        <color rgb="FF595959"/>
        <rFont val="Noto Sans CJK SC"/>
        <family val="2"/>
      </rPr>
      <t xml:space="preserve">匯出 </t>
    </r>
    <r>
      <rPr>
        <sz val="10"/>
        <color rgb="FF595959"/>
        <rFont val="Arial"/>
        <family val="0"/>
        <charset val="1"/>
      </rPr>
      <t xml:space="preserve">Excel</t>
    </r>
    <r>
      <rPr>
        <sz val="10"/>
        <color rgb="FF595959"/>
        <rFont val="Noto Sans CJK SC"/>
        <family val="2"/>
      </rPr>
      <t xml:space="preserve">，整理成四欄：</t>
    </r>
    <r>
      <rPr>
        <sz val="10"/>
        <color rgb="FF595959"/>
        <rFont val="Arial"/>
        <family val="0"/>
        <charset val="1"/>
      </rPr>
      <t xml:space="preserve">Activity ID</t>
    </r>
    <r>
      <rPr>
        <sz val="10"/>
        <color rgb="FF595959"/>
        <rFont val="Noto Sans CJK SC"/>
        <family val="2"/>
      </rPr>
      <t xml:space="preserve">、</t>
    </r>
    <r>
      <rPr>
        <sz val="10"/>
        <color rgb="FF595959"/>
        <rFont val="Arial"/>
        <family val="0"/>
        <charset val="1"/>
      </rPr>
      <t xml:space="preserve">Activity Name</t>
    </r>
    <r>
      <rPr>
        <sz val="10"/>
        <color rgb="FF595959"/>
        <rFont val="Noto Sans CJK SC"/>
        <family val="2"/>
      </rPr>
      <t xml:space="preserve">、</t>
    </r>
    <r>
      <rPr>
        <sz val="10"/>
        <color rgb="FF595959"/>
        <rFont val="Arial"/>
        <family val="0"/>
        <charset val="1"/>
      </rPr>
      <t xml:space="preserve">Original Duration</t>
    </r>
    <r>
      <rPr>
        <sz val="10"/>
        <color rgb="FF595959"/>
        <rFont val="Noto Sans CJK SC"/>
        <family val="2"/>
      </rPr>
      <t xml:space="preserve">、</t>
    </r>
    <r>
      <rPr>
        <sz val="10"/>
        <color rgb="FF595959"/>
        <rFont val="Arial"/>
        <family val="0"/>
        <charset val="1"/>
      </rPr>
      <t xml:space="preserve">Predecessors</t>
    </r>
    <r>
      <rPr>
        <sz val="10"/>
        <color rgb="FF595959"/>
        <rFont val="Noto Sans CJK SC"/>
        <family val="2"/>
      </rPr>
      <t xml:space="preserve">。</t>
    </r>
  </si>
  <si>
    <r>
      <rPr>
        <sz val="10"/>
        <color rgb="FF595959"/>
        <rFont val="Arial"/>
        <family val="0"/>
        <charset val="1"/>
      </rPr>
      <t xml:space="preserve">2. </t>
    </r>
    <r>
      <rPr>
        <sz val="10"/>
        <color rgb="FF595959"/>
        <rFont val="Noto Sans CJK SC"/>
        <family val="2"/>
      </rPr>
      <t xml:space="preserve">貼到 </t>
    </r>
    <r>
      <rPr>
        <sz val="10"/>
        <color rgb="FF595959"/>
        <rFont val="Arial"/>
        <family val="0"/>
        <charset val="1"/>
      </rPr>
      <t xml:space="preserve">P6_Export </t>
    </r>
    <r>
      <rPr>
        <sz val="10"/>
        <color rgb="FF595959"/>
        <rFont val="Noto Sans CJK SC"/>
        <family val="2"/>
      </rPr>
      <t xml:space="preserve">工作表（從 </t>
    </r>
    <r>
      <rPr>
        <sz val="10"/>
        <color rgb="FF595959"/>
        <rFont val="Arial"/>
        <family val="0"/>
        <charset val="1"/>
      </rPr>
      <t xml:space="preserve">A2 </t>
    </r>
    <r>
      <rPr>
        <sz val="10"/>
        <color rgb="FF595959"/>
        <rFont val="Noto Sans CJK SC"/>
        <family val="2"/>
      </rPr>
      <t xml:space="preserve">開始，覆蓋範例資料）。</t>
    </r>
    <r>
      <rPr>
        <sz val="10"/>
        <color rgb="FF595959"/>
        <rFont val="Arial"/>
        <family val="0"/>
        <charset val="1"/>
      </rPr>
      <t xml:space="preserve">Activities </t>
    </r>
    <r>
      <rPr>
        <sz val="10"/>
        <color rgb="FF595959"/>
        <rFont val="Noto Sans CJK SC"/>
        <family val="2"/>
      </rPr>
      <t xml:space="preserve">表會全部自動產生，不要手動改它。</t>
    </r>
  </si>
  <si>
    <r>
      <rPr>
        <sz val="10"/>
        <color rgb="FF595959"/>
        <rFont val="Arial"/>
        <family val="0"/>
        <charset val="1"/>
      </rPr>
      <t xml:space="preserve">3. </t>
    </r>
    <r>
      <rPr>
        <sz val="10"/>
        <color rgb="FF595959"/>
        <rFont val="Noto Sans CJK SC"/>
        <family val="2"/>
      </rPr>
      <t xml:space="preserve">檢查 </t>
    </r>
    <r>
      <rPr>
        <sz val="10"/>
        <color rgb="FF595959"/>
        <rFont val="Arial"/>
        <family val="0"/>
        <charset val="1"/>
      </rPr>
      <t xml:space="preserve">Predecessors</t>
    </r>
    <r>
      <rPr>
        <sz val="10"/>
        <color rgb="FF595959"/>
        <rFont val="Noto Sans CJK SC"/>
        <family val="2"/>
      </rPr>
      <t xml:space="preserve">：本範本自動把逗號轉成分號、移除空格。若 </t>
    </r>
    <r>
      <rPr>
        <sz val="10"/>
        <color rgb="FF595959"/>
        <rFont val="Arial"/>
        <family val="0"/>
        <charset val="1"/>
      </rPr>
      <t xml:space="preserve">P6 </t>
    </r>
    <r>
      <rPr>
        <sz val="10"/>
        <color rgb="FF595959"/>
        <rFont val="Noto Sans CJK SC"/>
        <family val="2"/>
      </rPr>
      <t xml:space="preserve">匯出含 </t>
    </r>
    <r>
      <rPr>
        <sz val="10"/>
        <color rgb="FF595959"/>
        <rFont val="Arial"/>
        <family val="0"/>
        <charset val="1"/>
      </rPr>
      <t xml:space="preserve">lag </t>
    </r>
    <r>
      <rPr>
        <sz val="10"/>
        <color rgb="FF595959"/>
        <rFont val="Noto Sans CJK SC"/>
        <family val="2"/>
      </rPr>
      <t xml:space="preserve">或 </t>
    </r>
    <r>
      <rPr>
        <sz val="10"/>
        <color rgb="FF595959"/>
        <rFont val="Arial"/>
        <family val="0"/>
        <charset val="1"/>
      </rPr>
      <t xml:space="preserve">SS</t>
    </r>
    <r>
      <rPr>
        <sz val="10"/>
        <color rgb="FF595959"/>
        <rFont val="Noto Sans CJK SC"/>
        <family val="2"/>
      </rPr>
      <t xml:space="preserve">（如「</t>
    </r>
    <r>
      <rPr>
        <sz val="10"/>
        <color rgb="FF595959"/>
        <rFont val="Arial"/>
        <family val="0"/>
        <charset val="1"/>
      </rPr>
      <t xml:space="preserve">A1000: FS+5d</t>
    </r>
    <r>
      <rPr>
        <sz val="10"/>
        <color rgb="FF595959"/>
        <rFont val="Noto Sans CJK SC"/>
        <family val="2"/>
      </rPr>
      <t xml:space="preserve">」），</t>
    </r>
  </si>
  <si>
    <r>
      <rPr>
        <sz val="10"/>
        <color rgb="FF595959"/>
        <rFont val="Noto Sans CJK SC"/>
        <family val="2"/>
      </rPr>
      <t xml:space="preserve">    請在 </t>
    </r>
    <r>
      <rPr>
        <sz val="10"/>
        <color rgb="FF595959"/>
        <rFont val="Arial"/>
        <family val="0"/>
        <charset val="1"/>
      </rPr>
      <t xml:space="preserve">P6_Export </t>
    </r>
    <r>
      <rPr>
        <sz val="10"/>
        <color rgb="FF595959"/>
        <rFont val="Noto Sans CJK SC"/>
        <family val="2"/>
      </rPr>
      <t xml:space="preserve">中手動改成 </t>
    </r>
    <r>
      <rPr>
        <sz val="10"/>
        <color rgb="FF595959"/>
        <rFont val="Arial"/>
        <family val="0"/>
        <charset val="1"/>
      </rPr>
      <t xml:space="preserve">Converge </t>
    </r>
    <r>
      <rPr>
        <sz val="10"/>
        <color rgb="FF595959"/>
        <rFont val="Noto Sans CJK SC"/>
        <family val="2"/>
      </rPr>
      <t xml:space="preserve">格式：</t>
    </r>
    <r>
      <rPr>
        <sz val="10"/>
        <color rgb="FF595959"/>
        <rFont val="Arial"/>
        <family val="0"/>
        <charset val="1"/>
      </rPr>
      <t xml:space="preserve">A1000:FS:5</t>
    </r>
    <r>
      <rPr>
        <sz val="10"/>
        <color rgb="FF595959"/>
        <rFont val="Noto Sans CJK SC"/>
        <family val="2"/>
      </rPr>
      <t xml:space="preserve">（</t>
    </r>
    <r>
      <rPr>
        <sz val="10"/>
        <color rgb="FF595959"/>
        <rFont val="Arial"/>
        <family val="0"/>
        <charset val="1"/>
      </rPr>
      <t xml:space="preserve">FS </t>
    </r>
    <r>
      <rPr>
        <sz val="10"/>
        <color rgb="FF595959"/>
        <rFont val="Noto Sans CJK SC"/>
        <family val="2"/>
      </rPr>
      <t xml:space="preserve">加 </t>
    </r>
    <r>
      <rPr>
        <sz val="10"/>
        <color rgb="FF595959"/>
        <rFont val="Arial"/>
        <family val="0"/>
        <charset val="1"/>
      </rPr>
      <t xml:space="preserve">5 </t>
    </r>
    <r>
      <rPr>
        <sz val="10"/>
        <color rgb="FF595959"/>
        <rFont val="Noto Sans CJK SC"/>
        <family val="2"/>
      </rPr>
      <t xml:space="preserve">天 </t>
    </r>
    <r>
      <rPr>
        <sz val="10"/>
        <color rgb="FF595959"/>
        <rFont val="Arial"/>
        <family val="0"/>
        <charset val="1"/>
      </rPr>
      <t xml:space="preserve">lag</t>
    </r>
    <r>
      <rPr>
        <sz val="10"/>
        <color rgb="FF595959"/>
        <rFont val="Noto Sans CJK SC"/>
        <family val="2"/>
      </rPr>
      <t xml:space="preserve">）、</t>
    </r>
    <r>
      <rPr>
        <sz val="10"/>
        <color rgb="FF595959"/>
        <rFont val="Arial"/>
        <family val="0"/>
        <charset val="1"/>
      </rPr>
      <t xml:space="preserve">A1000:SS:3</t>
    </r>
    <r>
      <rPr>
        <sz val="10"/>
        <color rgb="FF595959"/>
        <rFont val="Noto Sans CJK SC"/>
        <family val="2"/>
      </rPr>
      <t xml:space="preserve">（</t>
    </r>
    <r>
      <rPr>
        <sz val="10"/>
        <color rgb="FF595959"/>
        <rFont val="Arial"/>
        <family val="0"/>
        <charset val="1"/>
      </rPr>
      <t xml:space="preserve">SS </t>
    </r>
    <r>
      <rPr>
        <sz val="10"/>
        <color rgb="FF595959"/>
        <rFont val="Noto Sans CJK SC"/>
        <family val="2"/>
      </rPr>
      <t xml:space="preserve">加 </t>
    </r>
    <r>
      <rPr>
        <sz val="10"/>
        <color rgb="FF595959"/>
        <rFont val="Arial"/>
        <family val="0"/>
        <charset val="1"/>
      </rPr>
      <t xml:space="preserve">3 </t>
    </r>
    <r>
      <rPr>
        <sz val="10"/>
        <color rgb="FF595959"/>
        <rFont val="Noto Sans CJK SC"/>
        <family val="2"/>
      </rPr>
      <t xml:space="preserve">天 </t>
    </r>
    <r>
      <rPr>
        <sz val="10"/>
        <color rgb="FF595959"/>
        <rFont val="Arial"/>
        <family val="0"/>
        <charset val="1"/>
      </rPr>
      <t xml:space="preserve">lag</t>
    </r>
    <r>
      <rPr>
        <sz val="10"/>
        <color rgb="FF595959"/>
        <rFont val="Noto Sans CJK SC"/>
        <family val="2"/>
      </rPr>
      <t xml:space="preserve">）。</t>
    </r>
  </si>
  <si>
    <r>
      <rPr>
        <sz val="10"/>
        <color rgb="FF595959"/>
        <rFont val="Arial"/>
        <family val="0"/>
        <charset val="1"/>
      </rPr>
      <t xml:space="preserve">4. </t>
    </r>
    <r>
      <rPr>
        <sz val="10"/>
        <color rgb="FF595959"/>
        <rFont val="Noto Sans CJK SC"/>
        <family val="2"/>
      </rPr>
      <t xml:space="preserve">在 </t>
    </r>
    <r>
      <rPr>
        <sz val="10"/>
        <color rgb="FF595959"/>
        <rFont val="Arial"/>
        <family val="0"/>
        <charset val="1"/>
      </rPr>
      <t xml:space="preserve">RiskDrivers </t>
    </r>
    <r>
      <rPr>
        <sz val="10"/>
        <color rgb="FF595959"/>
        <rFont val="Noto Sans CJK SC"/>
        <family val="2"/>
      </rPr>
      <t xml:space="preserve">表填風險驅動因子（這是 </t>
    </r>
    <r>
      <rPr>
        <sz val="10"/>
        <color rgb="FF595959"/>
        <rFont val="Arial"/>
        <family val="0"/>
        <charset val="1"/>
      </rPr>
      <t xml:space="preserve">QRA </t>
    </r>
    <r>
      <rPr>
        <sz val="10"/>
        <color rgb="FF595959"/>
        <rFont val="Noto Sans CJK SC"/>
        <family val="2"/>
      </rPr>
      <t xml:space="preserve">的核心輸入，</t>
    </r>
    <r>
      <rPr>
        <sz val="10"/>
        <color rgb="FF595959"/>
        <rFont val="Arial"/>
        <family val="0"/>
        <charset val="1"/>
      </rPr>
      <t xml:space="preserve">P6 </t>
    </r>
    <r>
      <rPr>
        <sz val="10"/>
        <color rgb="FF595959"/>
        <rFont val="Noto Sans CJK SC"/>
        <family val="2"/>
      </rPr>
      <t xml:space="preserve">沒有的資訊）。</t>
    </r>
  </si>
  <si>
    <r>
      <rPr>
        <sz val="10"/>
        <color rgb="FF595959"/>
        <rFont val="Arial"/>
        <family val="0"/>
        <charset val="1"/>
      </rPr>
      <t xml:space="preserve">5. </t>
    </r>
    <r>
      <rPr>
        <sz val="10"/>
        <color rgb="FF595959"/>
        <rFont val="Noto Sans CJK SC"/>
        <family val="2"/>
      </rPr>
      <t xml:space="preserve">存檔 → 開 </t>
    </r>
    <r>
      <rPr>
        <sz val="10"/>
        <color rgb="FF595959"/>
        <rFont val="Arial"/>
        <family val="0"/>
        <charset val="1"/>
      </rPr>
      <t xml:space="preserve">Converge App → Data Input </t>
    </r>
    <r>
      <rPr>
        <sz val="10"/>
        <color rgb="FF595959"/>
        <rFont val="Noto Sans CJK SC"/>
        <family val="2"/>
      </rPr>
      <t xml:space="preserve">分頁 → </t>
    </r>
    <r>
      <rPr>
        <sz val="10"/>
        <color rgb="FF595959"/>
        <rFont val="Arial"/>
        <family val="0"/>
        <charset val="1"/>
      </rPr>
      <t xml:space="preserve">Import Activities / Import Risk Drivers</t>
    </r>
    <r>
      <rPr>
        <sz val="10"/>
        <color rgb="FF595959"/>
        <rFont val="Noto Sans CJK SC"/>
        <family val="2"/>
      </rPr>
      <t xml:space="preserve">，選這個檔案。</t>
    </r>
  </si>
  <si>
    <r>
      <rPr>
        <b val="true"/>
        <sz val="11"/>
        <rFont val="Arial"/>
        <family val="0"/>
        <charset val="1"/>
      </rPr>
      <t xml:space="preserve">■ dist_type </t>
    </r>
    <r>
      <rPr>
        <b val="true"/>
        <sz val="11"/>
        <rFont val="Noto Sans CJK SC"/>
        <family val="2"/>
      </rPr>
      <t xml:space="preserve">是什麼？（</t>
    </r>
    <r>
      <rPr>
        <b val="true"/>
        <sz val="11"/>
        <rFont val="Arial"/>
        <family val="0"/>
        <charset val="1"/>
      </rPr>
      <t xml:space="preserve">P6 </t>
    </r>
    <r>
      <rPr>
        <b val="true"/>
        <sz val="11"/>
        <rFont val="Noto Sans CJK SC"/>
        <family val="2"/>
      </rPr>
      <t xml:space="preserve">沒有這個欄位，這是正常的）</t>
    </r>
  </si>
  <si>
    <r>
      <rPr>
        <sz val="10"/>
        <color rgb="FF595959"/>
        <rFont val="Noto Sans CJK SC"/>
        <family val="2"/>
      </rPr>
      <t xml:space="preserve">它是「工期不確定性的形狀」。注意：這和你熟悉的 </t>
    </r>
    <r>
      <rPr>
        <sz val="10"/>
        <color rgb="FF595959"/>
        <rFont val="Arial"/>
        <family val="0"/>
        <charset val="1"/>
      </rPr>
      <t xml:space="preserve">PERT </t>
    </r>
    <r>
      <rPr>
        <sz val="10"/>
        <color rgb="FF595959"/>
        <rFont val="Noto Sans CJK SC"/>
        <family val="2"/>
      </rPr>
      <t xml:space="preserve">圖（網圖）是兩回事，只是撞名——</t>
    </r>
  </si>
  <si>
    <r>
      <rPr>
        <sz val="10"/>
        <color rgb="FF595959"/>
        <rFont val="Noto Sans CJK SC"/>
        <family val="2"/>
      </rPr>
      <t xml:space="preserve">這裡的 </t>
    </r>
    <r>
      <rPr>
        <sz val="10"/>
        <color rgb="FF595959"/>
        <rFont val="Arial"/>
        <family val="0"/>
        <charset val="1"/>
      </rPr>
      <t xml:space="preserve">pert </t>
    </r>
    <r>
      <rPr>
        <sz val="10"/>
        <color rgb="FF595959"/>
        <rFont val="Noto Sans CJK SC"/>
        <family val="2"/>
      </rPr>
      <t xml:space="preserve">指 </t>
    </r>
    <r>
      <rPr>
        <sz val="10"/>
        <color rgb="FF595959"/>
        <rFont val="Arial"/>
        <family val="0"/>
        <charset val="1"/>
      </rPr>
      <t xml:space="preserve">Beta-PERT </t>
    </r>
    <r>
      <rPr>
        <sz val="10"/>
        <color rgb="FF595959"/>
        <rFont val="Noto Sans CJK SC"/>
        <family val="2"/>
      </rPr>
      <t xml:space="preserve">機率分布。</t>
    </r>
    <r>
      <rPr>
        <sz val="10"/>
        <color rgb="FF595959"/>
        <rFont val="Arial"/>
        <family val="0"/>
        <charset val="1"/>
      </rPr>
      <t xml:space="preserve">P6 </t>
    </r>
    <r>
      <rPr>
        <sz val="10"/>
        <color rgb="FF595959"/>
        <rFont val="Noto Sans CJK SC"/>
        <family val="2"/>
      </rPr>
      <t xml:space="preserve">是確定性工具，每個活動只有一個工期；</t>
    </r>
    <r>
      <rPr>
        <sz val="10"/>
        <color rgb="FF595959"/>
        <rFont val="Arial"/>
        <family val="0"/>
        <charset val="1"/>
      </rPr>
      <t xml:space="preserve">QRA </t>
    </r>
    <r>
      <rPr>
        <sz val="10"/>
        <color rgb="FF595959"/>
        <rFont val="Noto Sans CJK SC"/>
        <family val="2"/>
      </rPr>
      <t xml:space="preserve">補上的正是「工期會怎麼變動」。</t>
    </r>
  </si>
  <si>
    <r>
      <rPr>
        <sz val="10"/>
        <color rgb="FF595959"/>
        <rFont val="Noto Sans CJK SC"/>
        <family val="2"/>
      </rPr>
      <t xml:space="preserve">本範本預設全部用 </t>
    </r>
    <r>
      <rPr>
        <sz val="10"/>
        <color rgb="FF595959"/>
        <rFont val="Arial"/>
        <family val="0"/>
        <charset val="1"/>
      </rPr>
      <t xml:space="preserve">triangular</t>
    </r>
    <r>
      <rPr>
        <sz val="10"/>
        <color rgb="FF595959"/>
        <rFont val="Noto Sans CJK SC"/>
        <family val="2"/>
      </rPr>
      <t xml:space="preserve">（三角分布，業界標準起點），</t>
    </r>
    <r>
      <rPr>
        <sz val="10"/>
        <color rgb="FF595959"/>
        <rFont val="Arial"/>
        <family val="0"/>
        <charset val="1"/>
      </rPr>
      <t xml:space="preserve">0 </t>
    </r>
    <r>
      <rPr>
        <sz val="10"/>
        <color rgb="FF595959"/>
        <rFont val="Noto Sans CJK SC"/>
        <family val="2"/>
      </rPr>
      <t xml:space="preserve">工期的里程碑自動設為 </t>
    </r>
    <r>
      <rPr>
        <sz val="10"/>
        <color rgb="FF595959"/>
        <rFont val="Arial"/>
        <family val="0"/>
        <charset val="1"/>
      </rPr>
      <t xml:space="preserve">deterministic</t>
    </r>
    <r>
      <rPr>
        <sz val="10"/>
        <color rgb="FF595959"/>
        <rFont val="Noto Sans CJK SC"/>
        <family val="2"/>
      </rPr>
      <t xml:space="preserve">。留空匯入也會自動當 </t>
    </r>
    <r>
      <rPr>
        <sz val="10"/>
        <color rgb="FF595959"/>
        <rFont val="Arial"/>
        <family val="0"/>
        <charset val="1"/>
      </rPr>
      <t xml:space="preserve">triangular</t>
    </r>
    <r>
      <rPr>
        <sz val="10"/>
        <color rgb="FF595959"/>
        <rFont val="Noto Sans CJK SC"/>
        <family val="2"/>
      </rPr>
      <t xml:space="preserve">。</t>
    </r>
  </si>
  <si>
    <t xml:space="preserve">■ 格式限制（務必遵守）</t>
  </si>
  <si>
    <r>
      <rPr>
        <sz val="10"/>
        <color rgb="FF595959"/>
        <rFont val="Noto Sans CJK SC"/>
        <family val="2"/>
      </rPr>
      <t xml:space="preserve">． 工作表名稱不可改：</t>
    </r>
    <r>
      <rPr>
        <sz val="10"/>
        <color rgb="FF595959"/>
        <rFont val="Arial"/>
        <family val="0"/>
        <charset val="1"/>
      </rPr>
      <t xml:space="preserve">P6_Export / Activities / RiskDrivers</t>
    </r>
    <r>
      <rPr>
        <sz val="10"/>
        <color rgb="FF595959"/>
        <rFont val="Noto Sans CJK SC"/>
        <family val="2"/>
      </rPr>
      <t xml:space="preserve">。</t>
    </r>
    <r>
      <rPr>
        <sz val="10"/>
        <color rgb="FF595959"/>
        <rFont val="Arial"/>
        <family val="0"/>
        <charset val="1"/>
      </rPr>
      <t xml:space="preserve">Activities </t>
    </r>
    <r>
      <rPr>
        <sz val="10"/>
        <color rgb="FF595959"/>
        <rFont val="Noto Sans CJK SC"/>
        <family val="2"/>
      </rPr>
      <t xml:space="preserve">的欄位標題列不可改。</t>
    </r>
  </si>
  <si>
    <r>
      <rPr>
        <sz val="10"/>
        <color rgb="FF595959"/>
        <rFont val="Noto Sans CJK SC"/>
        <family val="2"/>
      </rPr>
      <t xml:space="preserve">． </t>
    </r>
    <r>
      <rPr>
        <sz val="10"/>
        <color rgb="FF595959"/>
        <rFont val="Arial"/>
        <family val="0"/>
        <charset val="1"/>
      </rPr>
      <t xml:space="preserve">Original Duration </t>
    </r>
    <r>
      <rPr>
        <sz val="10"/>
        <color rgb="FF595959"/>
        <rFont val="Noto Sans CJK SC"/>
        <family val="2"/>
      </rPr>
      <t xml:space="preserve">必須是純數字（工作天），不可帶單位文字（如「</t>
    </r>
    <r>
      <rPr>
        <sz val="10"/>
        <color rgb="FF595959"/>
        <rFont val="Arial"/>
        <family val="0"/>
        <charset val="1"/>
      </rPr>
      <t xml:space="preserve">10d</t>
    </r>
    <r>
      <rPr>
        <sz val="10"/>
        <color rgb="FF595959"/>
        <rFont val="Noto Sans CJK SC"/>
        <family val="2"/>
      </rPr>
      <t xml:space="preserve">」）。里程碑填 </t>
    </r>
    <r>
      <rPr>
        <sz val="10"/>
        <color rgb="FF595959"/>
        <rFont val="Arial"/>
        <family val="0"/>
        <charset val="1"/>
      </rPr>
      <t xml:space="preserve">0</t>
    </r>
    <r>
      <rPr>
        <sz val="10"/>
        <color rgb="FF595959"/>
        <rFont val="Noto Sans CJK SC"/>
        <family val="2"/>
      </rPr>
      <t xml:space="preserve">。</t>
    </r>
  </si>
  <si>
    <r>
      <rPr>
        <sz val="10"/>
        <color rgb="FF595959"/>
        <rFont val="Noto Sans CJK SC"/>
        <family val="2"/>
      </rPr>
      <t xml:space="preserve">． 不要包含 </t>
    </r>
    <r>
      <rPr>
        <sz val="10"/>
        <color rgb="FF595959"/>
        <rFont val="Arial"/>
        <family val="0"/>
        <charset val="1"/>
      </rPr>
      <t xml:space="preserve">WBS / summary / LOE </t>
    </r>
    <r>
      <rPr>
        <sz val="10"/>
        <color rgb="FF595959"/>
        <rFont val="Noto Sans CJK SC"/>
        <family val="2"/>
      </rPr>
      <t xml:space="preserve">列——只貼真正的活動與里程碑。</t>
    </r>
  </si>
  <si>
    <r>
      <rPr>
        <sz val="10"/>
        <color rgb="FF595959"/>
        <rFont val="Noto Sans CJK SC"/>
        <family val="2"/>
      </rPr>
      <t xml:space="preserve">． </t>
    </r>
    <r>
      <rPr>
        <sz val="10"/>
        <color rgb="FF595959"/>
        <rFont val="Arial"/>
        <family val="0"/>
        <charset val="1"/>
      </rPr>
      <t xml:space="preserve">Activity ID </t>
    </r>
    <r>
      <rPr>
        <sz val="10"/>
        <color rgb="FF595959"/>
        <rFont val="Noto Sans CJK SC"/>
        <family val="2"/>
      </rPr>
      <t xml:space="preserve">不可重複；</t>
    </r>
    <r>
      <rPr>
        <sz val="10"/>
        <color rgb="FF595959"/>
        <rFont val="Arial"/>
        <family val="0"/>
        <charset val="1"/>
      </rPr>
      <t xml:space="preserve">Predecessors </t>
    </r>
    <r>
      <rPr>
        <sz val="10"/>
        <color rgb="FF595959"/>
        <rFont val="Noto Sans CJK SC"/>
        <family val="2"/>
      </rPr>
      <t xml:space="preserve">引用的 </t>
    </r>
    <r>
      <rPr>
        <sz val="10"/>
        <color rgb="FF595959"/>
        <rFont val="Arial"/>
        <family val="0"/>
        <charset val="1"/>
      </rPr>
      <t xml:space="preserve">ID </t>
    </r>
    <r>
      <rPr>
        <sz val="10"/>
        <color rgb="FF595959"/>
        <rFont val="Noto Sans CJK SC"/>
        <family val="2"/>
      </rPr>
      <t xml:space="preserve">必須存在。</t>
    </r>
  </si>
  <si>
    <r>
      <rPr>
        <sz val="11"/>
        <rFont val="Noto Sans CJK SC"/>
        <family val="2"/>
      </rPr>
      <t xml:space="preserve">樂觀係數（</t>
    </r>
    <r>
      <rPr>
        <sz val="11"/>
        <rFont val="Arial"/>
        <family val="0"/>
        <charset val="1"/>
      </rPr>
      <t xml:space="preserve">param_a = Duration ×</t>
    </r>
    <r>
      <rPr>
        <sz val="11"/>
        <rFont val="Noto Sans CJK SC"/>
        <family val="2"/>
      </rPr>
      <t xml:space="preserve">）</t>
    </r>
  </si>
  <si>
    <t xml:space="preserve">建議起步值</t>
  </si>
  <si>
    <r>
      <rPr>
        <sz val="11"/>
        <rFont val="Noto Sans CJK SC"/>
        <family val="2"/>
      </rPr>
      <t xml:space="preserve">悲觀係數（</t>
    </r>
    <r>
      <rPr>
        <sz val="11"/>
        <rFont val="Arial"/>
        <family val="0"/>
        <charset val="1"/>
      </rPr>
      <t xml:space="preserve">param_b = Duration ×</t>
    </r>
    <r>
      <rPr>
        <sz val="11"/>
        <rFont val="Noto Sans CJK SC"/>
        <family val="2"/>
      </rPr>
      <t xml:space="preserve">）</t>
    </r>
  </si>
  <si>
    <r>
      <rPr>
        <sz val="10"/>
        <color rgb="FF595959"/>
        <rFont val="Noto Sans CJK SC"/>
        <family val="2"/>
      </rPr>
      <t xml:space="preserve">右偏：延誤空間 </t>
    </r>
    <r>
      <rPr>
        <sz val="10"/>
        <color rgb="FF595959"/>
        <rFont val="Arial"/>
        <family val="0"/>
        <charset val="1"/>
      </rPr>
      <t xml:space="preserve">&gt; </t>
    </r>
    <r>
      <rPr>
        <sz val="10"/>
        <color rgb="FF595959"/>
        <rFont val="Noto Sans CJK SC"/>
        <family val="2"/>
      </rPr>
      <t xml:space="preserve">提早空間</t>
    </r>
  </si>
  <si>
    <r>
      <rPr>
        <sz val="10"/>
        <color rgb="FF595959"/>
        <rFont val="Noto Sans CJK SC"/>
        <family val="2"/>
      </rPr>
      <t xml:space="preserve">這些係數只是初始假設。正式分析請以 </t>
    </r>
    <r>
      <rPr>
        <sz val="10"/>
        <color rgb="FF595959"/>
        <rFont val="Arial"/>
        <family val="0"/>
        <charset val="1"/>
      </rPr>
      <t xml:space="preserve">duration ranging workshop </t>
    </r>
    <r>
      <rPr>
        <sz val="10"/>
        <color rgb="FF595959"/>
        <rFont val="Noto Sans CJK SC"/>
        <family val="2"/>
      </rPr>
      <t xml:space="preserve">的專家判斷逐活動覆寫 </t>
    </r>
    <r>
      <rPr>
        <sz val="10"/>
        <color rgb="FF595959"/>
        <rFont val="Arial"/>
        <family val="0"/>
        <charset val="1"/>
      </rPr>
      <t xml:space="preserve">Activities </t>
    </r>
    <r>
      <rPr>
        <sz val="10"/>
        <color rgb="FF595959"/>
        <rFont val="Noto Sans CJK SC"/>
        <family val="2"/>
      </rPr>
      <t xml:space="preserve">表的 </t>
    </r>
    <r>
      <rPr>
        <sz val="10"/>
        <color rgb="FF595959"/>
        <rFont val="Arial"/>
        <family val="0"/>
        <charset val="1"/>
      </rPr>
      <t xml:space="preserve">param_a / param_b</t>
    </r>
  </si>
  <si>
    <r>
      <rPr>
        <sz val="10"/>
        <color rgb="FF595959"/>
        <rFont val="Noto Sans CJK SC"/>
        <family val="2"/>
      </rPr>
      <t xml:space="preserve">（覆寫＝把該格公式改成數值即可）。高風險活動（首次施作、許可審批、長交期設備）特別要加大 </t>
    </r>
    <r>
      <rPr>
        <sz val="10"/>
        <color rgb="FF595959"/>
        <rFont val="Arial"/>
        <family val="0"/>
        <charset val="1"/>
      </rPr>
      <t xml:space="preserve">param_b</t>
    </r>
    <r>
      <rPr>
        <sz val="10"/>
        <color rgb="FF595959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</si>
</sst>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n">
        <v>40</v>
      </c>
      <c r="D2" s="2"/>
      <c r="F2" s="3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n">
        <v>8</v>
      </c>
      <c r="D3" s="2" t="s">
        <v>4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n">
        <v>8</v>
      </c>
      <c r="D4" s="2" t="s">
        <v>4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n">
        <v>12</v>
      </c>
      <c r="D5" s="2" t="s">
        <v>7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n">
        <v>15</v>
      </c>
      <c r="D6" s="2" t="s">
        <v>9</v>
      </c>
    </row>
    <row r="7" customFormat="false" ht="15" hidden="false" customHeight="false" outlineLevel="0" collapsed="false">
      <c r="A7" s="2" t="s">
        <v>15</v>
      </c>
      <c r="B7" s="2" t="s">
        <v>16</v>
      </c>
      <c r="C7" s="2" t="n">
        <v>0</v>
      </c>
      <c r="D7" s="2" t="s">
        <v>17</v>
      </c>
    </row>
    <row r="8" customFormat="false" ht="15" hidden="false" customHeight="false" outlineLevel="0" collapsed="false">
      <c r="A8" s="2" t="s">
        <v>18</v>
      </c>
      <c r="B8" s="2" t="s">
        <v>19</v>
      </c>
      <c r="C8" s="2" t="n">
        <v>20</v>
      </c>
      <c r="D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8" min="5" style="0" width="9"/>
    <col collapsed="false" customWidth="true" hidden="false" outlineLevel="0" max="9" min="9" style="0" width="11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customFormat="false" ht="15" hidden="false" customHeight="false" outlineLevel="0" collapsed="false">
      <c r="A2" s="4" t="str">
        <f aca="false">IF(TRIM(P6_Export!A2)="","",TRIM(P6_Export!A2))</f>
        <v>A1000</v>
      </c>
      <c r="B2" s="4" t="str">
        <f aca="false">IF($A2="","",P6_Export!B2)</f>
        <v>MEP &amp; E&amp;I Installation</v>
      </c>
      <c r="C2" s="4" t="str">
        <f aca="false">IF($A2="","",SUBSTITUTE(SUBSTITUTE(TRIM(P6_Export!D2)," ",""),",",";"))</f>
        <v/>
      </c>
      <c r="D2" s="4" t="str">
        <f aca="false">IF($A2="","",IF(P6_Export!$C2=0,"deterministic","triangular"))</f>
        <v>triangular</v>
      </c>
      <c r="E2" s="4" t="n">
        <f aca="false">IF($A2="","",IF($D2="deterministic",0,ROUND(P6_Export!$C2*說明!$C$22,1)))</f>
        <v>36</v>
      </c>
      <c r="F2" s="4" t="n">
        <f aca="false">IF($A2="","",P6_Export!$C2)</f>
        <v>40</v>
      </c>
      <c r="G2" s="4" t="n">
        <f aca="false">IF($A2="","",IF($D2="deterministic",0,ROUND(P6_Export!$C2*說明!$C$23,1)))</f>
        <v>52</v>
      </c>
    </row>
    <row r="3" customFormat="false" ht="15" hidden="false" customHeight="false" outlineLevel="0" collapsed="false">
      <c r="A3" s="4" t="str">
        <f aca="false">IF(TRIM(P6_Export!A3)="","",TRIM(P6_Export!A3))</f>
        <v>A1010</v>
      </c>
      <c r="B3" s="4" t="str">
        <f aca="false">IF($A3="","",P6_Export!B3)</f>
        <v>L3 Power Distribution PFT</v>
      </c>
      <c r="C3" s="4" t="str">
        <f aca="false">IF($A3="","",SUBSTITUTE(SUBSTITUTE(TRIM(P6_Export!D3)," ",""),",",";"))</f>
        <v>A1000</v>
      </c>
      <c r="D3" s="4" t="str">
        <f aca="false">IF($A3="","",IF(P6_Export!$C3=0,"deterministic","triangular"))</f>
        <v>triangular</v>
      </c>
      <c r="E3" s="4" t="n">
        <f aca="false">IF($A3="","",IF($D3="deterministic",0,ROUND(P6_Export!$C3*說明!$C$22,1)))</f>
        <v>7.2</v>
      </c>
      <c r="F3" s="4" t="n">
        <f aca="false">IF($A3="","",P6_Export!$C3)</f>
        <v>8</v>
      </c>
      <c r="G3" s="4" t="n">
        <f aca="false">IF($A3="","",IF($D3="deterministic",0,ROUND(P6_Export!$C3*說明!$C$23,1)))</f>
        <v>10.4</v>
      </c>
    </row>
    <row r="4" customFormat="false" ht="15" hidden="false" customHeight="false" outlineLevel="0" collapsed="false">
      <c r="A4" s="4" t="str">
        <f aca="false">IF(TRIM(P6_Export!A4)="","",TRIM(P6_Export!A4))</f>
        <v>A1020</v>
      </c>
      <c r="B4" s="4" t="str">
        <f aca="false">IF($A4="","",P6_Export!B4)</f>
        <v>L3 Cooling Systems PFT</v>
      </c>
      <c r="C4" s="4" t="str">
        <f aca="false">IF($A4="","",SUBSTITUTE(SUBSTITUTE(TRIM(P6_Export!D4)," ",""),",",";"))</f>
        <v>A1000</v>
      </c>
      <c r="D4" s="4" t="str">
        <f aca="false">IF($A4="","",IF(P6_Export!$C4=0,"deterministic","triangular"))</f>
        <v>triangular</v>
      </c>
      <c r="E4" s="4" t="n">
        <f aca="false">IF($A4="","",IF($D4="deterministic",0,ROUND(P6_Export!$C4*說明!$C$22,1)))</f>
        <v>7.2</v>
      </c>
      <c r="F4" s="4" t="n">
        <f aca="false">IF($A4="","",P6_Export!$C4)</f>
        <v>8</v>
      </c>
      <c r="G4" s="4" t="n">
        <f aca="false">IF($A4="","",IF($D4="deterministic",0,ROUND(P6_Export!$C4*說明!$C$23,1)))</f>
        <v>10.4</v>
      </c>
    </row>
    <row r="5" customFormat="false" ht="15" hidden="false" customHeight="false" outlineLevel="0" collapsed="false">
      <c r="A5" s="4" t="str">
        <f aca="false">IF(TRIM(P6_Export!A5)="","",TRIM(P6_Export!A5))</f>
        <v>A1030</v>
      </c>
      <c r="B5" s="4" t="str">
        <f aca="false">IF($A5="","",P6_Export!B5)</f>
        <v>L4 Power Distribution FPT</v>
      </c>
      <c r="C5" s="4" t="str">
        <f aca="false">IF($A5="","",SUBSTITUTE(SUBSTITUTE(TRIM(P6_Export!D5)," ",""),",",";"))</f>
        <v>A1010</v>
      </c>
      <c r="D5" s="4" t="str">
        <f aca="false">IF($A5="","",IF(P6_Export!$C5=0,"deterministic","triangular"))</f>
        <v>triangular</v>
      </c>
      <c r="E5" s="4" t="n">
        <f aca="false">IF($A5="","",IF($D5="deterministic",0,ROUND(P6_Export!$C5*說明!$C$22,1)))</f>
        <v>10.8</v>
      </c>
      <c r="F5" s="4" t="n">
        <f aca="false">IF($A5="","",P6_Export!$C5)</f>
        <v>12</v>
      </c>
      <c r="G5" s="4" t="n">
        <f aca="false">IF($A5="","",IF($D5="deterministic",0,ROUND(P6_Export!$C5*說明!$C$23,1)))</f>
        <v>15.6</v>
      </c>
    </row>
    <row r="6" customFormat="false" ht="15" hidden="false" customHeight="false" outlineLevel="0" collapsed="false">
      <c r="A6" s="4" t="str">
        <f aca="false">IF(TRIM(P6_Export!A6)="","",TRIM(P6_Export!A6))</f>
        <v>A1040</v>
      </c>
      <c r="B6" s="4" t="str">
        <f aca="false">IF($A6="","",P6_Export!B6)</f>
        <v>L4 Cooling Systems FPT</v>
      </c>
      <c r="C6" s="4" t="str">
        <f aca="false">IF($A6="","",SUBSTITUTE(SUBSTITUTE(TRIM(P6_Export!D6)," ",""),",",";"))</f>
        <v>A1020</v>
      </c>
      <c r="D6" s="4" t="str">
        <f aca="false">IF($A6="","",IF(P6_Export!$C6=0,"deterministic","triangular"))</f>
        <v>triangular</v>
      </c>
      <c r="E6" s="4" t="n">
        <f aca="false">IF($A6="","",IF($D6="deterministic",0,ROUND(P6_Export!$C6*說明!$C$22,1)))</f>
        <v>13.5</v>
      </c>
      <c r="F6" s="4" t="n">
        <f aca="false">IF($A6="","",P6_Export!$C6)</f>
        <v>15</v>
      </c>
      <c r="G6" s="4" t="n">
        <f aca="false">IF($A6="","",IF($D6="deterministic",0,ROUND(P6_Export!$C6*說明!$C$23,1)))</f>
        <v>19.5</v>
      </c>
    </row>
    <row r="7" customFormat="false" ht="15" hidden="false" customHeight="false" outlineLevel="0" collapsed="false">
      <c r="A7" s="4" t="str">
        <f aca="false">IF(TRIM(P6_Export!A7)="","",TRIM(P6_Export!A7))</f>
        <v>M1000</v>
      </c>
      <c r="B7" s="4" t="str">
        <f aca="false">IF($A7="","",P6_Export!B7)</f>
        <v>Ready for IST (Milestone)</v>
      </c>
      <c r="C7" s="4" t="str">
        <f aca="false">IF($A7="","",SUBSTITUTE(SUBSTITUTE(TRIM(P6_Export!D7)," ",""),",",";"))</f>
        <v>A1030;A1040</v>
      </c>
      <c r="D7" s="4" t="str">
        <f aca="false">IF($A7="","",IF(P6_Export!$C7=0,"deterministic","triangular"))</f>
        <v>deterministic</v>
      </c>
      <c r="E7" s="4" t="n">
        <f aca="false">IF($A7="","",IF($D7="deterministic",0,ROUND(P6_Export!$C7*說明!$C$22,1)))</f>
        <v>0</v>
      </c>
      <c r="F7" s="4" t="n">
        <f aca="false">IF($A7="","",P6_Export!$C7)</f>
        <v>0</v>
      </c>
      <c r="G7" s="4" t="n">
        <f aca="false">IF($A7="","",IF($D7="deterministic",0,ROUND(P6_Export!$C7*說明!$C$23,1)))</f>
        <v>0</v>
      </c>
    </row>
    <row r="8" customFormat="false" ht="15" hidden="false" customHeight="false" outlineLevel="0" collapsed="false">
      <c r="A8" s="4" t="str">
        <f aca="false">IF(TRIM(P6_Export!A8)="","",TRIM(P6_Export!A8))</f>
        <v>A1050</v>
      </c>
      <c r="B8" s="4" t="str">
        <f aca="false">IF($A8="","",P6_Export!B8)</f>
        <v>L5 Integrated Systems Test</v>
      </c>
      <c r="C8" s="4" t="str">
        <f aca="false">IF($A8="","",SUBSTITUTE(SUBSTITUTE(TRIM(P6_Export!D8)," ",""),",",";"))</f>
        <v>M1000</v>
      </c>
      <c r="D8" s="4" t="str">
        <f aca="false">IF($A8="","",IF(P6_Export!$C8=0,"deterministic","triangular"))</f>
        <v>triangular</v>
      </c>
      <c r="E8" s="4" t="n">
        <f aca="false">IF($A8="","",IF($D8="deterministic",0,ROUND(P6_Export!$C8*說明!$C$22,1)))</f>
        <v>18</v>
      </c>
      <c r="F8" s="4" t="n">
        <f aca="false">IF($A8="","",P6_Export!$C8)</f>
        <v>20</v>
      </c>
      <c r="G8" s="4" t="n">
        <f aca="false">IF($A8="","",IF($D8="deterministic",0,ROUND(P6_Export!$C8*說明!$C$23,1)))</f>
        <v>26</v>
      </c>
    </row>
    <row r="9" customFormat="false" ht="15" hidden="false" customHeight="false" outlineLevel="0" collapsed="false">
      <c r="A9" s="4" t="str">
        <f aca="false">IF(TRIM(P6_Export!A9)="","",TRIM(P6_Export!A9))</f>
        <v/>
      </c>
      <c r="B9" s="4" t="str">
        <f aca="false">IF($A9="","",P6_Export!B9)</f>
        <v/>
      </c>
      <c r="C9" s="4" t="str">
        <f aca="false">IF($A9="","",SUBSTITUTE(SUBSTITUTE(TRIM(P6_Export!D9)," ",""),",",";"))</f>
        <v/>
      </c>
      <c r="D9" s="4" t="str">
        <f aca="false">IF($A9="","",IF(P6_Export!$C9=0,"deterministic","triangular"))</f>
        <v/>
      </c>
      <c r="E9" s="4" t="str">
        <f aca="false">IF($A9="","",IF($D9="deterministic",0,ROUND(P6_Export!$C9*說明!$C$22,1)))</f>
        <v/>
      </c>
      <c r="F9" s="4" t="str">
        <f aca="false">IF($A9="","",P6_Export!$C9)</f>
        <v/>
      </c>
      <c r="G9" s="4" t="str">
        <f aca="false">IF($A9="","",IF($D9="deterministic",0,ROUND(P6_Export!$C9*說明!$C$23,1)))</f>
        <v/>
      </c>
    </row>
    <row r="10" customFormat="false" ht="15" hidden="false" customHeight="false" outlineLevel="0" collapsed="false">
      <c r="A10" s="4" t="str">
        <f aca="false">IF(TRIM(P6_Export!A10)="","",TRIM(P6_Export!A10))</f>
        <v/>
      </c>
      <c r="B10" s="4" t="str">
        <f aca="false">IF($A10="","",P6_Export!B10)</f>
        <v/>
      </c>
      <c r="C10" s="4" t="str">
        <f aca="false">IF($A10="","",SUBSTITUTE(SUBSTITUTE(TRIM(P6_Export!D10)," ",""),",",";"))</f>
        <v/>
      </c>
      <c r="D10" s="4" t="str">
        <f aca="false">IF($A10="","",IF(P6_Export!$C10=0,"deterministic","triangular"))</f>
        <v/>
      </c>
      <c r="E10" s="4" t="str">
        <f aca="false">IF($A10="","",IF($D10="deterministic",0,ROUND(P6_Export!$C10*說明!$C$22,1)))</f>
        <v/>
      </c>
      <c r="F10" s="4" t="str">
        <f aca="false">IF($A10="","",P6_Export!$C10)</f>
        <v/>
      </c>
      <c r="G10" s="4" t="str">
        <f aca="false">IF($A10="","",IF($D10="deterministic",0,ROUND(P6_Export!$C10*說明!$C$23,1)))</f>
        <v/>
      </c>
    </row>
    <row r="11" customFormat="false" ht="15" hidden="false" customHeight="false" outlineLevel="0" collapsed="false">
      <c r="A11" s="4" t="str">
        <f aca="false">IF(TRIM(P6_Export!A11)="","",TRIM(P6_Export!A11))</f>
        <v/>
      </c>
      <c r="B11" s="4" t="str">
        <f aca="false">IF($A11="","",P6_Export!B11)</f>
        <v/>
      </c>
      <c r="C11" s="4" t="str">
        <f aca="false">IF($A11="","",SUBSTITUTE(SUBSTITUTE(TRIM(P6_Export!D11)," ",""),",",";"))</f>
        <v/>
      </c>
      <c r="D11" s="4" t="str">
        <f aca="false">IF($A11="","",IF(P6_Export!$C11=0,"deterministic","triangular"))</f>
        <v/>
      </c>
      <c r="E11" s="4" t="str">
        <f aca="false">IF($A11="","",IF($D11="deterministic",0,ROUND(P6_Export!$C11*說明!$C$22,1)))</f>
        <v/>
      </c>
      <c r="F11" s="4" t="str">
        <f aca="false">IF($A11="","",P6_Export!$C11)</f>
        <v/>
      </c>
      <c r="G11" s="4" t="str">
        <f aca="false">IF($A11="","",IF($D11="deterministic",0,ROUND(P6_Export!$C11*說明!$C$23,1)))</f>
        <v/>
      </c>
    </row>
    <row r="12" customFormat="false" ht="15" hidden="false" customHeight="false" outlineLevel="0" collapsed="false">
      <c r="A12" s="4" t="str">
        <f aca="false">IF(TRIM(P6_Export!A12)="","",TRIM(P6_Export!A12))</f>
        <v/>
      </c>
      <c r="B12" s="4" t="str">
        <f aca="false">IF($A12="","",P6_Export!B12)</f>
        <v/>
      </c>
      <c r="C12" s="4" t="str">
        <f aca="false">IF($A12="","",SUBSTITUTE(SUBSTITUTE(TRIM(P6_Export!D12)," ",""),",",";"))</f>
        <v/>
      </c>
      <c r="D12" s="4" t="str">
        <f aca="false">IF($A12="","",IF(P6_Export!$C12=0,"deterministic","triangular"))</f>
        <v/>
      </c>
      <c r="E12" s="4" t="str">
        <f aca="false">IF($A12="","",IF($D12="deterministic",0,ROUND(P6_Export!$C12*說明!$C$22,1)))</f>
        <v/>
      </c>
      <c r="F12" s="4" t="str">
        <f aca="false">IF($A12="","",P6_Export!$C12)</f>
        <v/>
      </c>
      <c r="G12" s="4" t="str">
        <f aca="false">IF($A12="","",IF($D12="deterministic",0,ROUND(P6_Export!$C12*說明!$C$23,1)))</f>
        <v/>
      </c>
    </row>
    <row r="13" customFormat="false" ht="15" hidden="false" customHeight="false" outlineLevel="0" collapsed="false">
      <c r="A13" s="4" t="str">
        <f aca="false">IF(TRIM(P6_Export!A13)="","",TRIM(P6_Export!A13))</f>
        <v/>
      </c>
      <c r="B13" s="4" t="str">
        <f aca="false">IF($A13="","",P6_Export!B13)</f>
        <v/>
      </c>
      <c r="C13" s="4" t="str">
        <f aca="false">IF($A13="","",SUBSTITUTE(SUBSTITUTE(TRIM(P6_Export!D13)," ",""),",",";"))</f>
        <v/>
      </c>
      <c r="D13" s="4" t="str">
        <f aca="false">IF($A13="","",IF(P6_Export!$C13=0,"deterministic","triangular"))</f>
        <v/>
      </c>
      <c r="E13" s="4" t="str">
        <f aca="false">IF($A13="","",IF($D13="deterministic",0,ROUND(P6_Export!$C13*說明!$C$22,1)))</f>
        <v/>
      </c>
      <c r="F13" s="4" t="str">
        <f aca="false">IF($A13="","",P6_Export!$C13)</f>
        <v/>
      </c>
      <c r="G13" s="4" t="str">
        <f aca="false">IF($A13="","",IF($D13="deterministic",0,ROUND(P6_Export!$C13*說明!$C$23,1)))</f>
        <v/>
      </c>
    </row>
    <row r="14" customFormat="false" ht="15" hidden="false" customHeight="false" outlineLevel="0" collapsed="false">
      <c r="A14" s="4" t="str">
        <f aca="false">IF(TRIM(P6_Export!A14)="","",TRIM(P6_Export!A14))</f>
        <v/>
      </c>
      <c r="B14" s="4" t="str">
        <f aca="false">IF($A14="","",P6_Export!B14)</f>
        <v/>
      </c>
      <c r="C14" s="4" t="str">
        <f aca="false">IF($A14="","",SUBSTITUTE(SUBSTITUTE(TRIM(P6_Export!D14)," ",""),",",";"))</f>
        <v/>
      </c>
      <c r="D14" s="4" t="str">
        <f aca="false">IF($A14="","",IF(P6_Export!$C14=0,"deterministic","triangular"))</f>
        <v/>
      </c>
      <c r="E14" s="4" t="str">
        <f aca="false">IF($A14="","",IF($D14="deterministic",0,ROUND(P6_Export!$C14*說明!$C$22,1)))</f>
        <v/>
      </c>
      <c r="F14" s="4" t="str">
        <f aca="false">IF($A14="","",P6_Export!$C14)</f>
        <v/>
      </c>
      <c r="G14" s="4" t="str">
        <f aca="false">IF($A14="","",IF($D14="deterministic",0,ROUND(P6_Export!$C14*說明!$C$23,1)))</f>
        <v/>
      </c>
    </row>
    <row r="15" customFormat="false" ht="15" hidden="false" customHeight="false" outlineLevel="0" collapsed="false">
      <c r="A15" s="4" t="str">
        <f aca="false">IF(TRIM(P6_Export!A15)="","",TRIM(P6_Export!A15))</f>
        <v/>
      </c>
      <c r="B15" s="4" t="str">
        <f aca="false">IF($A15="","",P6_Export!B15)</f>
        <v/>
      </c>
      <c r="C15" s="4" t="str">
        <f aca="false">IF($A15="","",SUBSTITUTE(SUBSTITUTE(TRIM(P6_Export!D15)," ",""),",",";"))</f>
        <v/>
      </c>
      <c r="D15" s="4" t="str">
        <f aca="false">IF($A15="","",IF(P6_Export!$C15=0,"deterministic","triangular"))</f>
        <v/>
      </c>
      <c r="E15" s="4" t="str">
        <f aca="false">IF($A15="","",IF($D15="deterministic",0,ROUND(P6_Export!$C15*說明!$C$22,1)))</f>
        <v/>
      </c>
      <c r="F15" s="4" t="str">
        <f aca="false">IF($A15="","",P6_Export!$C15)</f>
        <v/>
      </c>
      <c r="G15" s="4" t="str">
        <f aca="false">IF($A15="","",IF($D15="deterministic",0,ROUND(P6_Export!$C15*說明!$C$23,1)))</f>
        <v/>
      </c>
    </row>
    <row r="16" customFormat="false" ht="15" hidden="false" customHeight="false" outlineLevel="0" collapsed="false">
      <c r="A16" s="4" t="str">
        <f aca="false">IF(TRIM(P6_Export!A16)="","",TRIM(P6_Export!A16))</f>
        <v/>
      </c>
      <c r="B16" s="4" t="str">
        <f aca="false">IF($A16="","",P6_Export!B16)</f>
        <v/>
      </c>
      <c r="C16" s="4" t="str">
        <f aca="false">IF($A16="","",SUBSTITUTE(SUBSTITUTE(TRIM(P6_Export!D16)," ",""),",",";"))</f>
        <v/>
      </c>
      <c r="D16" s="4" t="str">
        <f aca="false">IF($A16="","",IF(P6_Export!$C16=0,"deterministic","triangular"))</f>
        <v/>
      </c>
      <c r="E16" s="4" t="str">
        <f aca="false">IF($A16="","",IF($D16="deterministic",0,ROUND(P6_Export!$C16*說明!$C$22,1)))</f>
        <v/>
      </c>
      <c r="F16" s="4" t="str">
        <f aca="false">IF($A16="","",P6_Export!$C16)</f>
        <v/>
      </c>
      <c r="G16" s="4" t="str">
        <f aca="false">IF($A16="","",IF($D16="deterministic",0,ROUND(P6_Export!$C16*說明!$C$23,1)))</f>
        <v/>
      </c>
    </row>
    <row r="17" customFormat="false" ht="15" hidden="false" customHeight="false" outlineLevel="0" collapsed="false">
      <c r="A17" s="4" t="str">
        <f aca="false">IF(TRIM(P6_Export!A17)="","",TRIM(P6_Export!A17))</f>
        <v/>
      </c>
      <c r="B17" s="4" t="str">
        <f aca="false">IF($A17="","",P6_Export!B17)</f>
        <v/>
      </c>
      <c r="C17" s="4" t="str">
        <f aca="false">IF($A17="","",SUBSTITUTE(SUBSTITUTE(TRIM(P6_Export!D17)," ",""),",",";"))</f>
        <v/>
      </c>
      <c r="D17" s="4" t="str">
        <f aca="false">IF($A17="","",IF(P6_Export!$C17=0,"deterministic","triangular"))</f>
        <v/>
      </c>
      <c r="E17" s="4" t="str">
        <f aca="false">IF($A17="","",IF($D17="deterministic",0,ROUND(P6_Export!$C17*說明!$C$22,1)))</f>
        <v/>
      </c>
      <c r="F17" s="4" t="str">
        <f aca="false">IF($A17="","",P6_Export!$C17)</f>
        <v/>
      </c>
      <c r="G17" s="4" t="str">
        <f aca="false">IF($A17="","",IF($D17="deterministic",0,ROUND(P6_Export!$C17*說明!$C$23,1)))</f>
        <v/>
      </c>
    </row>
    <row r="18" customFormat="false" ht="15" hidden="false" customHeight="false" outlineLevel="0" collapsed="false">
      <c r="A18" s="4" t="str">
        <f aca="false">IF(TRIM(P6_Export!A18)="","",TRIM(P6_Export!A18))</f>
        <v/>
      </c>
      <c r="B18" s="4" t="str">
        <f aca="false">IF($A18="","",P6_Export!B18)</f>
        <v/>
      </c>
      <c r="C18" s="4" t="str">
        <f aca="false">IF($A18="","",SUBSTITUTE(SUBSTITUTE(TRIM(P6_Export!D18)," ",""),",",";"))</f>
        <v/>
      </c>
      <c r="D18" s="4" t="str">
        <f aca="false">IF($A18="","",IF(P6_Export!$C18=0,"deterministic","triangular"))</f>
        <v/>
      </c>
      <c r="E18" s="4" t="str">
        <f aca="false">IF($A18="","",IF($D18="deterministic",0,ROUND(P6_Export!$C18*說明!$C$22,1)))</f>
        <v/>
      </c>
      <c r="F18" s="4" t="str">
        <f aca="false">IF($A18="","",P6_Export!$C18)</f>
        <v/>
      </c>
      <c r="G18" s="4" t="str">
        <f aca="false">IF($A18="","",IF($D18="deterministic",0,ROUND(P6_Export!$C18*說明!$C$23,1)))</f>
        <v/>
      </c>
    </row>
    <row r="19" customFormat="false" ht="15" hidden="false" customHeight="false" outlineLevel="0" collapsed="false">
      <c r="A19" s="4" t="str">
        <f aca="false">IF(TRIM(P6_Export!A19)="","",TRIM(P6_Export!A19))</f>
        <v/>
      </c>
      <c r="B19" s="4" t="str">
        <f aca="false">IF($A19="","",P6_Export!B19)</f>
        <v/>
      </c>
      <c r="C19" s="4" t="str">
        <f aca="false">IF($A19="","",SUBSTITUTE(SUBSTITUTE(TRIM(P6_Export!D19)," ",""),",",";"))</f>
        <v/>
      </c>
      <c r="D19" s="4" t="str">
        <f aca="false">IF($A19="","",IF(P6_Export!$C19=0,"deterministic","triangular"))</f>
        <v/>
      </c>
      <c r="E19" s="4" t="str">
        <f aca="false">IF($A19="","",IF($D19="deterministic",0,ROUND(P6_Export!$C19*說明!$C$22,1)))</f>
        <v/>
      </c>
      <c r="F19" s="4" t="str">
        <f aca="false">IF($A19="","",P6_Export!$C19)</f>
        <v/>
      </c>
      <c r="G19" s="4" t="str">
        <f aca="false">IF($A19="","",IF($D19="deterministic",0,ROUND(P6_Export!$C19*說明!$C$23,1)))</f>
        <v/>
      </c>
    </row>
    <row r="20" customFormat="false" ht="15" hidden="false" customHeight="false" outlineLevel="0" collapsed="false">
      <c r="A20" s="4" t="str">
        <f aca="false">IF(TRIM(P6_Export!A20)="","",TRIM(P6_Export!A20))</f>
        <v/>
      </c>
      <c r="B20" s="4" t="str">
        <f aca="false">IF($A20="","",P6_Export!B20)</f>
        <v/>
      </c>
      <c r="C20" s="4" t="str">
        <f aca="false">IF($A20="","",SUBSTITUTE(SUBSTITUTE(TRIM(P6_Export!D20)," ",""),",",";"))</f>
        <v/>
      </c>
      <c r="D20" s="4" t="str">
        <f aca="false">IF($A20="","",IF(P6_Export!$C20=0,"deterministic","triangular"))</f>
        <v/>
      </c>
      <c r="E20" s="4" t="str">
        <f aca="false">IF($A20="","",IF($D20="deterministic",0,ROUND(P6_Export!$C20*說明!$C$22,1)))</f>
        <v/>
      </c>
      <c r="F20" s="4" t="str">
        <f aca="false">IF($A20="","",P6_Export!$C20)</f>
        <v/>
      </c>
      <c r="G20" s="4" t="str">
        <f aca="false">IF($A20="","",IF($D20="deterministic",0,ROUND(P6_Export!$C20*說明!$C$23,1)))</f>
        <v/>
      </c>
    </row>
    <row r="21" customFormat="false" ht="15" hidden="false" customHeight="false" outlineLevel="0" collapsed="false">
      <c r="A21" s="4" t="str">
        <f aca="false">IF(TRIM(P6_Export!A21)="","",TRIM(P6_Export!A21))</f>
        <v/>
      </c>
      <c r="B21" s="4" t="str">
        <f aca="false">IF($A21="","",P6_Export!B21)</f>
        <v/>
      </c>
      <c r="C21" s="4" t="str">
        <f aca="false">IF($A21="","",SUBSTITUTE(SUBSTITUTE(TRIM(P6_Export!D21)," ",""),",",";"))</f>
        <v/>
      </c>
      <c r="D21" s="4" t="str">
        <f aca="false">IF($A21="","",IF(P6_Export!$C21=0,"deterministic","triangular"))</f>
        <v/>
      </c>
      <c r="E21" s="4" t="str">
        <f aca="false">IF($A21="","",IF($D21="deterministic",0,ROUND(P6_Export!$C21*說明!$C$22,1)))</f>
        <v/>
      </c>
      <c r="F21" s="4" t="str">
        <f aca="false">IF($A21="","",P6_Export!$C21)</f>
        <v/>
      </c>
      <c r="G21" s="4" t="str">
        <f aca="false">IF($A21="","",IF($D21="deterministic",0,ROUND(P6_Export!$C21*說明!$C$23,1)))</f>
        <v/>
      </c>
    </row>
    <row r="22" customFormat="false" ht="15" hidden="false" customHeight="false" outlineLevel="0" collapsed="false">
      <c r="A22" s="4" t="str">
        <f aca="false">IF(TRIM(P6_Export!A22)="","",TRIM(P6_Export!A22))</f>
        <v/>
      </c>
      <c r="B22" s="4" t="str">
        <f aca="false">IF($A22="","",P6_Export!B22)</f>
        <v/>
      </c>
      <c r="C22" s="4" t="str">
        <f aca="false">IF($A22="","",SUBSTITUTE(SUBSTITUTE(TRIM(P6_Export!D22)," ",""),",",";"))</f>
        <v/>
      </c>
      <c r="D22" s="4" t="str">
        <f aca="false">IF($A22="","",IF(P6_Export!$C22=0,"deterministic","triangular"))</f>
        <v/>
      </c>
      <c r="E22" s="4" t="str">
        <f aca="false">IF($A22="","",IF($D22="deterministic",0,ROUND(P6_Export!$C22*說明!$C$22,1)))</f>
        <v/>
      </c>
      <c r="F22" s="4" t="str">
        <f aca="false">IF($A22="","",P6_Export!$C22)</f>
        <v/>
      </c>
      <c r="G22" s="4" t="str">
        <f aca="false">IF($A22="","",IF($D22="deterministic",0,ROUND(P6_Export!$C22*說明!$C$23,1)))</f>
        <v/>
      </c>
    </row>
    <row r="23" customFormat="false" ht="15" hidden="false" customHeight="false" outlineLevel="0" collapsed="false">
      <c r="A23" s="4" t="str">
        <f aca="false">IF(TRIM(P6_Export!A23)="","",TRIM(P6_Export!A23))</f>
        <v/>
      </c>
      <c r="B23" s="4" t="str">
        <f aca="false">IF($A23="","",P6_Export!B23)</f>
        <v/>
      </c>
      <c r="C23" s="4" t="str">
        <f aca="false">IF($A23="","",SUBSTITUTE(SUBSTITUTE(TRIM(P6_Export!D23)," ",""),",",";"))</f>
        <v/>
      </c>
      <c r="D23" s="4" t="str">
        <f aca="false">IF($A23="","",IF(P6_Export!$C23=0,"deterministic","triangular"))</f>
        <v/>
      </c>
      <c r="E23" s="4" t="str">
        <f aca="false">IF($A23="","",IF($D23="deterministic",0,ROUND(P6_Export!$C23*說明!$C$22,1)))</f>
        <v/>
      </c>
      <c r="F23" s="4" t="str">
        <f aca="false">IF($A23="","",P6_Export!$C23)</f>
        <v/>
      </c>
      <c r="G23" s="4" t="str">
        <f aca="false">IF($A23="","",IF($D23="deterministic",0,ROUND(P6_Export!$C23*說明!$C$23,1)))</f>
        <v/>
      </c>
    </row>
    <row r="24" customFormat="false" ht="15" hidden="false" customHeight="false" outlineLevel="0" collapsed="false">
      <c r="A24" s="4" t="str">
        <f aca="false">IF(TRIM(P6_Export!A24)="","",TRIM(P6_Export!A24))</f>
        <v/>
      </c>
      <c r="B24" s="4" t="str">
        <f aca="false">IF($A24="","",P6_Export!B24)</f>
        <v/>
      </c>
      <c r="C24" s="4" t="str">
        <f aca="false">IF($A24="","",SUBSTITUTE(SUBSTITUTE(TRIM(P6_Export!D24)," ",""),",",";"))</f>
        <v/>
      </c>
      <c r="D24" s="4" t="str">
        <f aca="false">IF($A24="","",IF(P6_Export!$C24=0,"deterministic","triangular"))</f>
        <v/>
      </c>
      <c r="E24" s="4" t="str">
        <f aca="false">IF($A24="","",IF($D24="deterministic",0,ROUND(P6_Export!$C24*說明!$C$22,1)))</f>
        <v/>
      </c>
      <c r="F24" s="4" t="str">
        <f aca="false">IF($A24="","",P6_Export!$C24)</f>
        <v/>
      </c>
      <c r="G24" s="4" t="str">
        <f aca="false">IF($A24="","",IF($D24="deterministic",0,ROUND(P6_Export!$C24*說明!$C$23,1)))</f>
        <v/>
      </c>
    </row>
    <row r="25" customFormat="false" ht="15" hidden="false" customHeight="false" outlineLevel="0" collapsed="false">
      <c r="A25" s="4" t="str">
        <f aca="false">IF(TRIM(P6_Export!A25)="","",TRIM(P6_Export!A25))</f>
        <v/>
      </c>
      <c r="B25" s="4" t="str">
        <f aca="false">IF($A25="","",P6_Export!B25)</f>
        <v/>
      </c>
      <c r="C25" s="4" t="str">
        <f aca="false">IF($A25="","",SUBSTITUTE(SUBSTITUTE(TRIM(P6_Export!D25)," ",""),",",";"))</f>
        <v/>
      </c>
      <c r="D25" s="4" t="str">
        <f aca="false">IF($A25="","",IF(P6_Export!$C25=0,"deterministic","triangular"))</f>
        <v/>
      </c>
      <c r="E25" s="4" t="str">
        <f aca="false">IF($A25="","",IF($D25="deterministic",0,ROUND(P6_Export!$C25*說明!$C$22,1)))</f>
        <v/>
      </c>
      <c r="F25" s="4" t="str">
        <f aca="false">IF($A25="","",P6_Export!$C25)</f>
        <v/>
      </c>
      <c r="G25" s="4" t="str">
        <f aca="false">IF($A25="","",IF($D25="deterministic",0,ROUND(P6_Export!$C25*說明!$C$23,1)))</f>
        <v/>
      </c>
    </row>
    <row r="26" customFormat="false" ht="15" hidden="false" customHeight="false" outlineLevel="0" collapsed="false">
      <c r="A26" s="4" t="str">
        <f aca="false">IF(TRIM(P6_Export!A26)="","",TRIM(P6_Export!A26))</f>
        <v/>
      </c>
      <c r="B26" s="4" t="str">
        <f aca="false">IF($A26="","",P6_Export!B26)</f>
        <v/>
      </c>
      <c r="C26" s="4" t="str">
        <f aca="false">IF($A26="","",SUBSTITUTE(SUBSTITUTE(TRIM(P6_Export!D26)," ",""),",",";"))</f>
        <v/>
      </c>
      <c r="D26" s="4" t="str">
        <f aca="false">IF($A26="","",IF(P6_Export!$C26=0,"deterministic","triangular"))</f>
        <v/>
      </c>
      <c r="E26" s="4" t="str">
        <f aca="false">IF($A26="","",IF($D26="deterministic",0,ROUND(P6_Export!$C26*說明!$C$22,1)))</f>
        <v/>
      </c>
      <c r="F26" s="4" t="str">
        <f aca="false">IF($A26="","",P6_Export!$C26)</f>
        <v/>
      </c>
      <c r="G26" s="4" t="str">
        <f aca="false">IF($A26="","",IF($D26="deterministic",0,ROUND(P6_Export!$C26*說明!$C$23,1)))</f>
        <v/>
      </c>
    </row>
    <row r="27" customFormat="false" ht="15" hidden="false" customHeight="false" outlineLevel="0" collapsed="false">
      <c r="A27" s="4" t="str">
        <f aca="false">IF(TRIM(P6_Export!A27)="","",TRIM(P6_Export!A27))</f>
        <v/>
      </c>
      <c r="B27" s="4" t="str">
        <f aca="false">IF($A27="","",P6_Export!B27)</f>
        <v/>
      </c>
      <c r="C27" s="4" t="str">
        <f aca="false">IF($A27="","",SUBSTITUTE(SUBSTITUTE(TRIM(P6_Export!D27)," ",""),",",";"))</f>
        <v/>
      </c>
      <c r="D27" s="4" t="str">
        <f aca="false">IF($A27="","",IF(P6_Export!$C27=0,"deterministic","triangular"))</f>
        <v/>
      </c>
      <c r="E27" s="4" t="str">
        <f aca="false">IF($A27="","",IF($D27="deterministic",0,ROUND(P6_Export!$C27*說明!$C$22,1)))</f>
        <v/>
      </c>
      <c r="F27" s="4" t="str">
        <f aca="false">IF($A27="","",P6_Export!$C27)</f>
        <v/>
      </c>
      <c r="G27" s="4" t="str">
        <f aca="false">IF($A27="","",IF($D27="deterministic",0,ROUND(P6_Export!$C27*說明!$C$23,1)))</f>
        <v/>
      </c>
    </row>
    <row r="28" customFormat="false" ht="15" hidden="false" customHeight="false" outlineLevel="0" collapsed="false">
      <c r="A28" s="4" t="str">
        <f aca="false">IF(TRIM(P6_Export!A28)="","",TRIM(P6_Export!A28))</f>
        <v/>
      </c>
      <c r="B28" s="4" t="str">
        <f aca="false">IF($A28="","",P6_Export!B28)</f>
        <v/>
      </c>
      <c r="C28" s="4" t="str">
        <f aca="false">IF($A28="","",SUBSTITUTE(SUBSTITUTE(TRIM(P6_Export!D28)," ",""),",",";"))</f>
        <v/>
      </c>
      <c r="D28" s="4" t="str">
        <f aca="false">IF($A28="","",IF(P6_Export!$C28=0,"deterministic","triangular"))</f>
        <v/>
      </c>
      <c r="E28" s="4" t="str">
        <f aca="false">IF($A28="","",IF($D28="deterministic",0,ROUND(P6_Export!$C28*說明!$C$22,1)))</f>
        <v/>
      </c>
      <c r="F28" s="4" t="str">
        <f aca="false">IF($A28="","",P6_Export!$C28)</f>
        <v/>
      </c>
      <c r="G28" s="4" t="str">
        <f aca="false">IF($A28="","",IF($D28="deterministic",0,ROUND(P6_Export!$C28*說明!$C$23,1)))</f>
        <v/>
      </c>
    </row>
    <row r="29" customFormat="false" ht="15" hidden="false" customHeight="false" outlineLevel="0" collapsed="false">
      <c r="A29" s="4" t="str">
        <f aca="false">IF(TRIM(P6_Export!A29)="","",TRIM(P6_Export!A29))</f>
        <v/>
      </c>
      <c r="B29" s="4" t="str">
        <f aca="false">IF($A29="","",P6_Export!B29)</f>
        <v/>
      </c>
      <c r="C29" s="4" t="str">
        <f aca="false">IF($A29="","",SUBSTITUTE(SUBSTITUTE(TRIM(P6_Export!D29)," ",""),",",";"))</f>
        <v/>
      </c>
      <c r="D29" s="4" t="str">
        <f aca="false">IF($A29="","",IF(P6_Export!$C29=0,"deterministic","triangular"))</f>
        <v/>
      </c>
      <c r="E29" s="4" t="str">
        <f aca="false">IF($A29="","",IF($D29="deterministic",0,ROUND(P6_Export!$C29*說明!$C$22,1)))</f>
        <v/>
      </c>
      <c r="F29" s="4" t="str">
        <f aca="false">IF($A29="","",P6_Export!$C29)</f>
        <v/>
      </c>
      <c r="G29" s="4" t="str">
        <f aca="false">IF($A29="","",IF($D29="deterministic",0,ROUND(P6_Export!$C29*說明!$C$23,1)))</f>
        <v/>
      </c>
    </row>
    <row r="30" customFormat="false" ht="15" hidden="false" customHeight="false" outlineLevel="0" collapsed="false">
      <c r="A30" s="4" t="str">
        <f aca="false">IF(TRIM(P6_Export!A30)="","",TRIM(P6_Export!A30))</f>
        <v/>
      </c>
      <c r="B30" s="4" t="str">
        <f aca="false">IF($A30="","",P6_Export!B30)</f>
        <v/>
      </c>
      <c r="C30" s="4" t="str">
        <f aca="false">IF($A30="","",SUBSTITUTE(SUBSTITUTE(TRIM(P6_Export!D30)," ",""),",",";"))</f>
        <v/>
      </c>
      <c r="D30" s="4" t="str">
        <f aca="false">IF($A30="","",IF(P6_Export!$C30=0,"deterministic","triangular"))</f>
        <v/>
      </c>
      <c r="E30" s="4" t="str">
        <f aca="false">IF($A30="","",IF($D30="deterministic",0,ROUND(P6_Export!$C30*說明!$C$22,1)))</f>
        <v/>
      </c>
      <c r="F30" s="4" t="str">
        <f aca="false">IF($A30="","",P6_Export!$C30)</f>
        <v/>
      </c>
      <c r="G30" s="4" t="str">
        <f aca="false">IF($A30="","",IF($D30="deterministic",0,ROUND(P6_Export!$C30*說明!$C$23,1)))</f>
        <v/>
      </c>
    </row>
    <row r="31" customFormat="false" ht="15" hidden="false" customHeight="false" outlineLevel="0" collapsed="false">
      <c r="A31" s="4" t="str">
        <f aca="false">IF(TRIM(P6_Export!A31)="","",TRIM(P6_Export!A31))</f>
        <v/>
      </c>
      <c r="B31" s="4" t="str">
        <f aca="false">IF($A31="","",P6_Export!B31)</f>
        <v/>
      </c>
      <c r="C31" s="4" t="str">
        <f aca="false">IF($A31="","",SUBSTITUTE(SUBSTITUTE(TRIM(P6_Export!D31)," ",""),",",";"))</f>
        <v/>
      </c>
      <c r="D31" s="4" t="str">
        <f aca="false">IF($A31="","",IF(P6_Export!$C31=0,"deterministic","triangular"))</f>
        <v/>
      </c>
      <c r="E31" s="4" t="str">
        <f aca="false">IF($A31="","",IF($D31="deterministic",0,ROUND(P6_Export!$C31*說明!$C$22,1)))</f>
        <v/>
      </c>
      <c r="F31" s="4" t="str">
        <f aca="false">IF($A31="","",P6_Export!$C31)</f>
        <v/>
      </c>
      <c r="G31" s="4" t="str">
        <f aca="false">IF($A31="","",IF($D31="deterministic",0,ROUND(P6_Export!$C31*說明!$C$23,1)))</f>
        <v/>
      </c>
    </row>
    <row r="32" customFormat="false" ht="15" hidden="false" customHeight="false" outlineLevel="0" collapsed="false">
      <c r="A32" s="4" t="str">
        <f aca="false">IF(TRIM(P6_Export!A32)="","",TRIM(P6_Export!A32))</f>
        <v/>
      </c>
      <c r="B32" s="4" t="str">
        <f aca="false">IF($A32="","",P6_Export!B32)</f>
        <v/>
      </c>
      <c r="C32" s="4" t="str">
        <f aca="false">IF($A32="","",SUBSTITUTE(SUBSTITUTE(TRIM(P6_Export!D32)," ",""),",",";"))</f>
        <v/>
      </c>
      <c r="D32" s="4" t="str">
        <f aca="false">IF($A32="","",IF(P6_Export!$C32=0,"deterministic","triangular"))</f>
        <v/>
      </c>
      <c r="E32" s="4" t="str">
        <f aca="false">IF($A32="","",IF($D32="deterministic",0,ROUND(P6_Export!$C32*說明!$C$22,1)))</f>
        <v/>
      </c>
      <c r="F32" s="4" t="str">
        <f aca="false">IF($A32="","",P6_Export!$C32)</f>
        <v/>
      </c>
      <c r="G32" s="4" t="str">
        <f aca="false">IF($A32="","",IF($D32="deterministic",0,ROUND(P6_Export!$C32*說明!$C$23,1)))</f>
        <v/>
      </c>
    </row>
    <row r="33" customFormat="false" ht="15" hidden="false" customHeight="false" outlineLevel="0" collapsed="false">
      <c r="A33" s="4" t="str">
        <f aca="false">IF(TRIM(P6_Export!A33)="","",TRIM(P6_Export!A33))</f>
        <v/>
      </c>
      <c r="B33" s="4" t="str">
        <f aca="false">IF($A33="","",P6_Export!B33)</f>
        <v/>
      </c>
      <c r="C33" s="4" t="str">
        <f aca="false">IF($A33="","",SUBSTITUTE(SUBSTITUTE(TRIM(P6_Export!D33)," ",""),",",";"))</f>
        <v/>
      </c>
      <c r="D33" s="4" t="str">
        <f aca="false">IF($A33="","",IF(P6_Export!$C33=0,"deterministic","triangular"))</f>
        <v/>
      </c>
      <c r="E33" s="4" t="str">
        <f aca="false">IF($A33="","",IF($D33="deterministic",0,ROUND(P6_Export!$C33*說明!$C$22,1)))</f>
        <v/>
      </c>
      <c r="F33" s="4" t="str">
        <f aca="false">IF($A33="","",P6_Export!$C33)</f>
        <v/>
      </c>
      <c r="G33" s="4" t="str">
        <f aca="false">IF($A33="","",IF($D33="deterministic",0,ROUND(P6_Export!$C33*說明!$C$23,1)))</f>
        <v/>
      </c>
    </row>
    <row r="34" customFormat="false" ht="15" hidden="false" customHeight="false" outlineLevel="0" collapsed="false">
      <c r="A34" s="4" t="str">
        <f aca="false">IF(TRIM(P6_Export!A34)="","",TRIM(P6_Export!A34))</f>
        <v/>
      </c>
      <c r="B34" s="4" t="str">
        <f aca="false">IF($A34="","",P6_Export!B34)</f>
        <v/>
      </c>
      <c r="C34" s="4" t="str">
        <f aca="false">IF($A34="","",SUBSTITUTE(SUBSTITUTE(TRIM(P6_Export!D34)," ",""),",",";"))</f>
        <v/>
      </c>
      <c r="D34" s="4" t="str">
        <f aca="false">IF($A34="","",IF(P6_Export!$C34=0,"deterministic","triangular"))</f>
        <v/>
      </c>
      <c r="E34" s="4" t="str">
        <f aca="false">IF($A34="","",IF($D34="deterministic",0,ROUND(P6_Export!$C34*說明!$C$22,1)))</f>
        <v/>
      </c>
      <c r="F34" s="4" t="str">
        <f aca="false">IF($A34="","",P6_Export!$C34)</f>
        <v/>
      </c>
      <c r="G34" s="4" t="str">
        <f aca="false">IF($A34="","",IF($D34="deterministic",0,ROUND(P6_Export!$C34*說明!$C$23,1)))</f>
        <v/>
      </c>
    </row>
    <row r="35" customFormat="false" ht="15" hidden="false" customHeight="false" outlineLevel="0" collapsed="false">
      <c r="A35" s="4" t="str">
        <f aca="false">IF(TRIM(P6_Export!A35)="","",TRIM(P6_Export!A35))</f>
        <v/>
      </c>
      <c r="B35" s="4" t="str">
        <f aca="false">IF($A35="","",P6_Export!B35)</f>
        <v/>
      </c>
      <c r="C35" s="4" t="str">
        <f aca="false">IF($A35="","",SUBSTITUTE(SUBSTITUTE(TRIM(P6_Export!D35)," ",""),",",";"))</f>
        <v/>
      </c>
      <c r="D35" s="4" t="str">
        <f aca="false">IF($A35="","",IF(P6_Export!$C35=0,"deterministic","triangular"))</f>
        <v/>
      </c>
      <c r="E35" s="4" t="str">
        <f aca="false">IF($A35="","",IF($D35="deterministic",0,ROUND(P6_Export!$C35*說明!$C$22,1)))</f>
        <v/>
      </c>
      <c r="F35" s="4" t="str">
        <f aca="false">IF($A35="","",P6_Export!$C35)</f>
        <v/>
      </c>
      <c r="G35" s="4" t="str">
        <f aca="false">IF($A35="","",IF($D35="deterministic",0,ROUND(P6_Export!$C35*說明!$C$23,1)))</f>
        <v/>
      </c>
    </row>
    <row r="36" customFormat="false" ht="15" hidden="false" customHeight="false" outlineLevel="0" collapsed="false">
      <c r="A36" s="4" t="str">
        <f aca="false">IF(TRIM(P6_Export!A36)="","",TRIM(P6_Export!A36))</f>
        <v/>
      </c>
      <c r="B36" s="4" t="str">
        <f aca="false">IF($A36="","",P6_Export!B36)</f>
        <v/>
      </c>
      <c r="C36" s="4" t="str">
        <f aca="false">IF($A36="","",SUBSTITUTE(SUBSTITUTE(TRIM(P6_Export!D36)," ",""),",",";"))</f>
        <v/>
      </c>
      <c r="D36" s="4" t="str">
        <f aca="false">IF($A36="","",IF(P6_Export!$C36=0,"deterministic","triangular"))</f>
        <v/>
      </c>
      <c r="E36" s="4" t="str">
        <f aca="false">IF($A36="","",IF($D36="deterministic",0,ROUND(P6_Export!$C36*說明!$C$22,1)))</f>
        <v/>
      </c>
      <c r="F36" s="4" t="str">
        <f aca="false">IF($A36="","",P6_Export!$C36)</f>
        <v/>
      </c>
      <c r="G36" s="4" t="str">
        <f aca="false">IF($A36="","",IF($D36="deterministic",0,ROUND(P6_Export!$C36*說明!$C$23,1)))</f>
        <v/>
      </c>
    </row>
    <row r="37" customFormat="false" ht="15" hidden="false" customHeight="false" outlineLevel="0" collapsed="false">
      <c r="A37" s="4" t="str">
        <f aca="false">IF(TRIM(P6_Export!A37)="","",TRIM(P6_Export!A37))</f>
        <v/>
      </c>
      <c r="B37" s="4" t="str">
        <f aca="false">IF($A37="","",P6_Export!B37)</f>
        <v/>
      </c>
      <c r="C37" s="4" t="str">
        <f aca="false">IF($A37="","",SUBSTITUTE(SUBSTITUTE(TRIM(P6_Export!D37)," ",""),",",";"))</f>
        <v/>
      </c>
      <c r="D37" s="4" t="str">
        <f aca="false">IF($A37="","",IF(P6_Export!$C37=0,"deterministic","triangular"))</f>
        <v/>
      </c>
      <c r="E37" s="4" t="str">
        <f aca="false">IF($A37="","",IF($D37="deterministic",0,ROUND(P6_Export!$C37*說明!$C$22,1)))</f>
        <v/>
      </c>
      <c r="F37" s="4" t="str">
        <f aca="false">IF($A37="","",P6_Export!$C37)</f>
        <v/>
      </c>
      <c r="G37" s="4" t="str">
        <f aca="false">IF($A37="","",IF($D37="deterministic",0,ROUND(P6_Export!$C37*說明!$C$23,1)))</f>
        <v/>
      </c>
    </row>
    <row r="38" customFormat="false" ht="15" hidden="false" customHeight="false" outlineLevel="0" collapsed="false">
      <c r="A38" s="4" t="str">
        <f aca="false">IF(TRIM(P6_Export!A38)="","",TRIM(P6_Export!A38))</f>
        <v/>
      </c>
      <c r="B38" s="4" t="str">
        <f aca="false">IF($A38="","",P6_Export!B38)</f>
        <v/>
      </c>
      <c r="C38" s="4" t="str">
        <f aca="false">IF($A38="","",SUBSTITUTE(SUBSTITUTE(TRIM(P6_Export!D38)," ",""),",",";"))</f>
        <v/>
      </c>
      <c r="D38" s="4" t="str">
        <f aca="false">IF($A38="","",IF(P6_Export!$C38=0,"deterministic","triangular"))</f>
        <v/>
      </c>
      <c r="E38" s="4" t="str">
        <f aca="false">IF($A38="","",IF($D38="deterministic",0,ROUND(P6_Export!$C38*說明!$C$22,1)))</f>
        <v/>
      </c>
      <c r="F38" s="4" t="str">
        <f aca="false">IF($A38="","",P6_Export!$C38)</f>
        <v/>
      </c>
      <c r="G38" s="4" t="str">
        <f aca="false">IF($A38="","",IF($D38="deterministic",0,ROUND(P6_Export!$C38*說明!$C$23,1)))</f>
        <v/>
      </c>
    </row>
    <row r="39" customFormat="false" ht="15" hidden="false" customHeight="false" outlineLevel="0" collapsed="false">
      <c r="A39" s="4" t="str">
        <f aca="false">IF(TRIM(P6_Export!A39)="","",TRIM(P6_Export!A39))</f>
        <v/>
      </c>
      <c r="B39" s="4" t="str">
        <f aca="false">IF($A39="","",P6_Export!B39)</f>
        <v/>
      </c>
      <c r="C39" s="4" t="str">
        <f aca="false">IF($A39="","",SUBSTITUTE(SUBSTITUTE(TRIM(P6_Export!D39)," ",""),",",";"))</f>
        <v/>
      </c>
      <c r="D39" s="4" t="str">
        <f aca="false">IF($A39="","",IF(P6_Export!$C39=0,"deterministic","triangular"))</f>
        <v/>
      </c>
      <c r="E39" s="4" t="str">
        <f aca="false">IF($A39="","",IF($D39="deterministic",0,ROUND(P6_Export!$C39*說明!$C$22,1)))</f>
        <v/>
      </c>
      <c r="F39" s="4" t="str">
        <f aca="false">IF($A39="","",P6_Export!$C39)</f>
        <v/>
      </c>
      <c r="G39" s="4" t="str">
        <f aca="false">IF($A39="","",IF($D39="deterministic",0,ROUND(P6_Export!$C39*說明!$C$23,1)))</f>
        <v/>
      </c>
    </row>
    <row r="40" customFormat="false" ht="15" hidden="false" customHeight="false" outlineLevel="0" collapsed="false">
      <c r="A40" s="4" t="str">
        <f aca="false">IF(TRIM(P6_Export!A40)="","",TRIM(P6_Export!A40))</f>
        <v/>
      </c>
      <c r="B40" s="4" t="str">
        <f aca="false">IF($A40="","",P6_Export!B40)</f>
        <v/>
      </c>
      <c r="C40" s="4" t="str">
        <f aca="false">IF($A40="","",SUBSTITUTE(SUBSTITUTE(TRIM(P6_Export!D40)," ",""),",",";"))</f>
        <v/>
      </c>
      <c r="D40" s="4" t="str">
        <f aca="false">IF($A40="","",IF(P6_Export!$C40=0,"deterministic","triangular"))</f>
        <v/>
      </c>
      <c r="E40" s="4" t="str">
        <f aca="false">IF($A40="","",IF($D40="deterministic",0,ROUND(P6_Export!$C40*說明!$C$22,1)))</f>
        <v/>
      </c>
      <c r="F40" s="4" t="str">
        <f aca="false">IF($A40="","",P6_Export!$C40)</f>
        <v/>
      </c>
      <c r="G40" s="4" t="str">
        <f aca="false">IF($A40="","",IF($D40="deterministic",0,ROUND(P6_Export!$C40*說明!$C$23,1)))</f>
        <v/>
      </c>
    </row>
    <row r="41" customFormat="false" ht="15" hidden="false" customHeight="false" outlineLevel="0" collapsed="false">
      <c r="A41" s="4" t="str">
        <f aca="false">IF(TRIM(P6_Export!A41)="","",TRIM(P6_Export!A41))</f>
        <v/>
      </c>
      <c r="B41" s="4" t="str">
        <f aca="false">IF($A41="","",P6_Export!B41)</f>
        <v/>
      </c>
      <c r="C41" s="4" t="str">
        <f aca="false">IF($A41="","",SUBSTITUTE(SUBSTITUTE(TRIM(P6_Export!D41)," ",""),",",";"))</f>
        <v/>
      </c>
      <c r="D41" s="4" t="str">
        <f aca="false">IF($A41="","",IF(P6_Export!$C41=0,"deterministic","triangular"))</f>
        <v/>
      </c>
      <c r="E41" s="4" t="str">
        <f aca="false">IF($A41="","",IF($D41="deterministic",0,ROUND(P6_Export!$C41*說明!$C$22,1)))</f>
        <v/>
      </c>
      <c r="F41" s="4" t="str">
        <f aca="false">IF($A41="","",P6_Export!$C41)</f>
        <v/>
      </c>
      <c r="G41" s="4" t="str">
        <f aca="false">IF($A41="","",IF($D41="deterministic",0,ROUND(P6_Export!$C41*說明!$C$23,1)))</f>
        <v/>
      </c>
    </row>
    <row r="42" customFormat="false" ht="15" hidden="false" customHeight="false" outlineLevel="0" collapsed="false">
      <c r="A42" s="4" t="str">
        <f aca="false">IF(TRIM(P6_Export!A42)="","",TRIM(P6_Export!A42))</f>
        <v/>
      </c>
      <c r="B42" s="4" t="str">
        <f aca="false">IF($A42="","",P6_Export!B42)</f>
        <v/>
      </c>
      <c r="C42" s="4" t="str">
        <f aca="false">IF($A42="","",SUBSTITUTE(SUBSTITUTE(TRIM(P6_Export!D42)," ",""),",",";"))</f>
        <v/>
      </c>
      <c r="D42" s="4" t="str">
        <f aca="false">IF($A42="","",IF(P6_Export!$C42=0,"deterministic","triangular"))</f>
        <v/>
      </c>
      <c r="E42" s="4" t="str">
        <f aca="false">IF($A42="","",IF($D42="deterministic",0,ROUND(P6_Export!$C42*說明!$C$22,1)))</f>
        <v/>
      </c>
      <c r="F42" s="4" t="str">
        <f aca="false">IF($A42="","",P6_Export!$C42)</f>
        <v/>
      </c>
      <c r="G42" s="4" t="str">
        <f aca="false">IF($A42="","",IF($D42="deterministic",0,ROUND(P6_Export!$C42*說明!$C$23,1)))</f>
        <v/>
      </c>
    </row>
    <row r="43" customFormat="false" ht="15" hidden="false" customHeight="false" outlineLevel="0" collapsed="false">
      <c r="A43" s="4" t="str">
        <f aca="false">IF(TRIM(P6_Export!A43)="","",TRIM(P6_Export!A43))</f>
        <v/>
      </c>
      <c r="B43" s="4" t="str">
        <f aca="false">IF($A43="","",P6_Export!B43)</f>
        <v/>
      </c>
      <c r="C43" s="4" t="str">
        <f aca="false">IF($A43="","",SUBSTITUTE(SUBSTITUTE(TRIM(P6_Export!D43)," ",""),",",";"))</f>
        <v/>
      </c>
      <c r="D43" s="4" t="str">
        <f aca="false">IF($A43="","",IF(P6_Export!$C43=0,"deterministic","triangular"))</f>
        <v/>
      </c>
      <c r="E43" s="4" t="str">
        <f aca="false">IF($A43="","",IF($D43="deterministic",0,ROUND(P6_Export!$C43*說明!$C$22,1)))</f>
        <v/>
      </c>
      <c r="F43" s="4" t="str">
        <f aca="false">IF($A43="","",P6_Export!$C43)</f>
        <v/>
      </c>
      <c r="G43" s="4" t="str">
        <f aca="false">IF($A43="","",IF($D43="deterministic",0,ROUND(P6_Export!$C43*說明!$C$23,1)))</f>
        <v/>
      </c>
    </row>
    <row r="44" customFormat="false" ht="15" hidden="false" customHeight="false" outlineLevel="0" collapsed="false">
      <c r="A44" s="4" t="str">
        <f aca="false">IF(TRIM(P6_Export!A44)="","",TRIM(P6_Export!A44))</f>
        <v/>
      </c>
      <c r="B44" s="4" t="str">
        <f aca="false">IF($A44="","",P6_Export!B44)</f>
        <v/>
      </c>
      <c r="C44" s="4" t="str">
        <f aca="false">IF($A44="","",SUBSTITUTE(SUBSTITUTE(TRIM(P6_Export!D44)," ",""),",",";"))</f>
        <v/>
      </c>
      <c r="D44" s="4" t="str">
        <f aca="false">IF($A44="","",IF(P6_Export!$C44=0,"deterministic","triangular"))</f>
        <v/>
      </c>
      <c r="E44" s="4" t="str">
        <f aca="false">IF($A44="","",IF($D44="deterministic",0,ROUND(P6_Export!$C44*說明!$C$22,1)))</f>
        <v/>
      </c>
      <c r="F44" s="4" t="str">
        <f aca="false">IF($A44="","",P6_Export!$C44)</f>
        <v/>
      </c>
      <c r="G44" s="4" t="str">
        <f aca="false">IF($A44="","",IF($D44="deterministic",0,ROUND(P6_Export!$C44*說明!$C$23,1)))</f>
        <v/>
      </c>
    </row>
    <row r="45" customFormat="false" ht="15" hidden="false" customHeight="false" outlineLevel="0" collapsed="false">
      <c r="A45" s="4" t="str">
        <f aca="false">IF(TRIM(P6_Export!A45)="","",TRIM(P6_Export!A45))</f>
        <v/>
      </c>
      <c r="B45" s="4" t="str">
        <f aca="false">IF($A45="","",P6_Export!B45)</f>
        <v/>
      </c>
      <c r="C45" s="4" t="str">
        <f aca="false">IF($A45="","",SUBSTITUTE(SUBSTITUTE(TRIM(P6_Export!D45)," ",""),",",";"))</f>
        <v/>
      </c>
      <c r="D45" s="4" t="str">
        <f aca="false">IF($A45="","",IF(P6_Export!$C45=0,"deterministic","triangular"))</f>
        <v/>
      </c>
      <c r="E45" s="4" t="str">
        <f aca="false">IF($A45="","",IF($D45="deterministic",0,ROUND(P6_Export!$C45*說明!$C$22,1)))</f>
        <v/>
      </c>
      <c r="F45" s="4" t="str">
        <f aca="false">IF($A45="","",P6_Export!$C45)</f>
        <v/>
      </c>
      <c r="G45" s="4" t="str">
        <f aca="false">IF($A45="","",IF($D45="deterministic",0,ROUND(P6_Export!$C45*說明!$C$23,1)))</f>
        <v/>
      </c>
    </row>
    <row r="46" customFormat="false" ht="15" hidden="false" customHeight="false" outlineLevel="0" collapsed="false">
      <c r="A46" s="4" t="str">
        <f aca="false">IF(TRIM(P6_Export!A46)="","",TRIM(P6_Export!A46))</f>
        <v/>
      </c>
      <c r="B46" s="4" t="str">
        <f aca="false">IF($A46="","",P6_Export!B46)</f>
        <v/>
      </c>
      <c r="C46" s="4" t="str">
        <f aca="false">IF($A46="","",SUBSTITUTE(SUBSTITUTE(TRIM(P6_Export!D46)," ",""),",",";"))</f>
        <v/>
      </c>
      <c r="D46" s="4" t="str">
        <f aca="false">IF($A46="","",IF(P6_Export!$C46=0,"deterministic","triangular"))</f>
        <v/>
      </c>
      <c r="E46" s="4" t="str">
        <f aca="false">IF($A46="","",IF($D46="deterministic",0,ROUND(P6_Export!$C46*說明!$C$22,1)))</f>
        <v/>
      </c>
      <c r="F46" s="4" t="str">
        <f aca="false">IF($A46="","",P6_Export!$C46)</f>
        <v/>
      </c>
      <c r="G46" s="4" t="str">
        <f aca="false">IF($A46="","",IF($D46="deterministic",0,ROUND(P6_Export!$C46*說明!$C$23,1)))</f>
        <v/>
      </c>
    </row>
    <row r="47" customFormat="false" ht="15" hidden="false" customHeight="false" outlineLevel="0" collapsed="false">
      <c r="A47" s="4" t="str">
        <f aca="false">IF(TRIM(P6_Export!A47)="","",TRIM(P6_Export!A47))</f>
        <v/>
      </c>
      <c r="B47" s="4" t="str">
        <f aca="false">IF($A47="","",P6_Export!B47)</f>
        <v/>
      </c>
      <c r="C47" s="4" t="str">
        <f aca="false">IF($A47="","",SUBSTITUTE(SUBSTITUTE(TRIM(P6_Export!D47)," ",""),",",";"))</f>
        <v/>
      </c>
      <c r="D47" s="4" t="str">
        <f aca="false">IF($A47="","",IF(P6_Export!$C47=0,"deterministic","triangular"))</f>
        <v/>
      </c>
      <c r="E47" s="4" t="str">
        <f aca="false">IF($A47="","",IF($D47="deterministic",0,ROUND(P6_Export!$C47*說明!$C$22,1)))</f>
        <v/>
      </c>
      <c r="F47" s="4" t="str">
        <f aca="false">IF($A47="","",P6_Export!$C47)</f>
        <v/>
      </c>
      <c r="G47" s="4" t="str">
        <f aca="false">IF($A47="","",IF($D47="deterministic",0,ROUND(P6_Export!$C47*說明!$C$23,1)))</f>
        <v/>
      </c>
    </row>
    <row r="48" customFormat="false" ht="15" hidden="false" customHeight="false" outlineLevel="0" collapsed="false">
      <c r="A48" s="4" t="str">
        <f aca="false">IF(TRIM(P6_Export!A48)="","",TRIM(P6_Export!A48))</f>
        <v/>
      </c>
      <c r="B48" s="4" t="str">
        <f aca="false">IF($A48="","",P6_Export!B48)</f>
        <v/>
      </c>
      <c r="C48" s="4" t="str">
        <f aca="false">IF($A48="","",SUBSTITUTE(SUBSTITUTE(TRIM(P6_Export!D48)," ",""),",",";"))</f>
        <v/>
      </c>
      <c r="D48" s="4" t="str">
        <f aca="false">IF($A48="","",IF(P6_Export!$C48=0,"deterministic","triangular"))</f>
        <v/>
      </c>
      <c r="E48" s="4" t="str">
        <f aca="false">IF($A48="","",IF($D48="deterministic",0,ROUND(P6_Export!$C48*說明!$C$22,1)))</f>
        <v/>
      </c>
      <c r="F48" s="4" t="str">
        <f aca="false">IF($A48="","",P6_Export!$C48)</f>
        <v/>
      </c>
      <c r="G48" s="4" t="str">
        <f aca="false">IF($A48="","",IF($D48="deterministic",0,ROUND(P6_Export!$C48*說明!$C$23,1)))</f>
        <v/>
      </c>
    </row>
    <row r="49" customFormat="false" ht="15" hidden="false" customHeight="false" outlineLevel="0" collapsed="false">
      <c r="A49" s="4" t="str">
        <f aca="false">IF(TRIM(P6_Export!A49)="","",TRIM(P6_Export!A49))</f>
        <v/>
      </c>
      <c r="B49" s="4" t="str">
        <f aca="false">IF($A49="","",P6_Export!B49)</f>
        <v/>
      </c>
      <c r="C49" s="4" t="str">
        <f aca="false">IF($A49="","",SUBSTITUTE(SUBSTITUTE(TRIM(P6_Export!D49)," ",""),",",";"))</f>
        <v/>
      </c>
      <c r="D49" s="4" t="str">
        <f aca="false">IF($A49="","",IF(P6_Export!$C49=0,"deterministic","triangular"))</f>
        <v/>
      </c>
      <c r="E49" s="4" t="str">
        <f aca="false">IF($A49="","",IF($D49="deterministic",0,ROUND(P6_Export!$C49*說明!$C$22,1)))</f>
        <v/>
      </c>
      <c r="F49" s="4" t="str">
        <f aca="false">IF($A49="","",P6_Export!$C49)</f>
        <v/>
      </c>
      <c r="G49" s="4" t="str">
        <f aca="false">IF($A49="","",IF($D49="deterministic",0,ROUND(P6_Export!$C49*說明!$C$23,1)))</f>
        <v/>
      </c>
    </row>
    <row r="50" customFormat="false" ht="15" hidden="false" customHeight="false" outlineLevel="0" collapsed="false">
      <c r="A50" s="4" t="str">
        <f aca="false">IF(TRIM(P6_Export!A50)="","",TRIM(P6_Export!A50))</f>
        <v/>
      </c>
      <c r="B50" s="4" t="str">
        <f aca="false">IF($A50="","",P6_Export!B50)</f>
        <v/>
      </c>
      <c r="C50" s="4" t="str">
        <f aca="false">IF($A50="","",SUBSTITUTE(SUBSTITUTE(TRIM(P6_Export!D50)," ",""),",",";"))</f>
        <v/>
      </c>
      <c r="D50" s="4" t="str">
        <f aca="false">IF($A50="","",IF(P6_Export!$C50=0,"deterministic","triangular"))</f>
        <v/>
      </c>
      <c r="E50" s="4" t="str">
        <f aca="false">IF($A50="","",IF($D50="deterministic",0,ROUND(P6_Export!$C50*說明!$C$22,1)))</f>
        <v/>
      </c>
      <c r="F50" s="4" t="str">
        <f aca="false">IF($A50="","",P6_Export!$C50)</f>
        <v/>
      </c>
      <c r="G50" s="4" t="str">
        <f aca="false">IF($A50="","",IF($D50="deterministic",0,ROUND(P6_Export!$C50*說明!$C$23,1)))</f>
        <v/>
      </c>
    </row>
    <row r="51" customFormat="false" ht="15" hidden="false" customHeight="false" outlineLevel="0" collapsed="false">
      <c r="A51" s="4" t="str">
        <f aca="false">IF(TRIM(P6_Export!A51)="","",TRIM(P6_Export!A51))</f>
        <v/>
      </c>
      <c r="B51" s="4" t="str">
        <f aca="false">IF($A51="","",P6_Export!B51)</f>
        <v/>
      </c>
      <c r="C51" s="4" t="str">
        <f aca="false">IF($A51="","",SUBSTITUTE(SUBSTITUTE(TRIM(P6_Export!D51)," ",""),",",";"))</f>
        <v/>
      </c>
      <c r="D51" s="4" t="str">
        <f aca="false">IF($A51="","",IF(P6_Export!$C51=0,"deterministic","triangular"))</f>
        <v/>
      </c>
      <c r="E51" s="4" t="str">
        <f aca="false">IF($A51="","",IF($D51="deterministic",0,ROUND(P6_Export!$C51*說明!$C$22,1)))</f>
        <v/>
      </c>
      <c r="F51" s="4" t="str">
        <f aca="false">IF($A51="","",P6_Export!$C51)</f>
        <v/>
      </c>
      <c r="G51" s="4" t="str">
        <f aca="false">IF($A51="","",IF($D51="deterministic",0,ROUND(P6_Export!$C51*說明!$C$23,1)))</f>
        <v/>
      </c>
    </row>
    <row r="52" customFormat="false" ht="15" hidden="false" customHeight="false" outlineLevel="0" collapsed="false">
      <c r="A52" s="4" t="str">
        <f aca="false">IF(TRIM(P6_Export!A52)="","",TRIM(P6_Export!A52))</f>
        <v/>
      </c>
      <c r="B52" s="4" t="str">
        <f aca="false">IF($A52="","",P6_Export!B52)</f>
        <v/>
      </c>
      <c r="C52" s="4" t="str">
        <f aca="false">IF($A52="","",SUBSTITUTE(SUBSTITUTE(TRIM(P6_Export!D52)," ",""),",",";"))</f>
        <v/>
      </c>
      <c r="D52" s="4" t="str">
        <f aca="false">IF($A52="","",IF(P6_Export!$C52=0,"deterministic","triangular"))</f>
        <v/>
      </c>
      <c r="E52" s="4" t="str">
        <f aca="false">IF($A52="","",IF($D52="deterministic",0,ROUND(P6_Export!$C52*說明!$C$22,1)))</f>
        <v/>
      </c>
      <c r="F52" s="4" t="str">
        <f aca="false">IF($A52="","",P6_Export!$C52)</f>
        <v/>
      </c>
      <c r="G52" s="4" t="str">
        <f aca="false">IF($A52="","",IF($D52="deterministic",0,ROUND(P6_Export!$C52*說明!$C$23,1)))</f>
        <v/>
      </c>
    </row>
    <row r="53" customFormat="false" ht="15" hidden="false" customHeight="false" outlineLevel="0" collapsed="false">
      <c r="A53" s="4" t="str">
        <f aca="false">IF(TRIM(P6_Export!A53)="","",TRIM(P6_Export!A53))</f>
        <v/>
      </c>
      <c r="B53" s="4" t="str">
        <f aca="false">IF($A53="","",P6_Export!B53)</f>
        <v/>
      </c>
      <c r="C53" s="4" t="str">
        <f aca="false">IF($A53="","",SUBSTITUTE(SUBSTITUTE(TRIM(P6_Export!D53)," ",""),",",";"))</f>
        <v/>
      </c>
      <c r="D53" s="4" t="str">
        <f aca="false">IF($A53="","",IF(P6_Export!$C53=0,"deterministic","triangular"))</f>
        <v/>
      </c>
      <c r="E53" s="4" t="str">
        <f aca="false">IF($A53="","",IF($D53="deterministic",0,ROUND(P6_Export!$C53*說明!$C$22,1)))</f>
        <v/>
      </c>
      <c r="F53" s="4" t="str">
        <f aca="false">IF($A53="","",P6_Export!$C53)</f>
        <v/>
      </c>
      <c r="G53" s="4" t="str">
        <f aca="false">IF($A53="","",IF($D53="deterministic",0,ROUND(P6_Export!$C53*說明!$C$23,1)))</f>
        <v/>
      </c>
    </row>
    <row r="54" customFormat="false" ht="15" hidden="false" customHeight="false" outlineLevel="0" collapsed="false">
      <c r="A54" s="4" t="str">
        <f aca="false">IF(TRIM(P6_Export!A54)="","",TRIM(P6_Export!A54))</f>
        <v/>
      </c>
      <c r="B54" s="4" t="str">
        <f aca="false">IF($A54="","",P6_Export!B54)</f>
        <v/>
      </c>
      <c r="C54" s="4" t="str">
        <f aca="false">IF($A54="","",SUBSTITUTE(SUBSTITUTE(TRIM(P6_Export!D54)," ",""),",",";"))</f>
        <v/>
      </c>
      <c r="D54" s="4" t="str">
        <f aca="false">IF($A54="","",IF(P6_Export!$C54=0,"deterministic","triangular"))</f>
        <v/>
      </c>
      <c r="E54" s="4" t="str">
        <f aca="false">IF($A54="","",IF($D54="deterministic",0,ROUND(P6_Export!$C54*說明!$C$22,1)))</f>
        <v/>
      </c>
      <c r="F54" s="4" t="str">
        <f aca="false">IF($A54="","",P6_Export!$C54)</f>
        <v/>
      </c>
      <c r="G54" s="4" t="str">
        <f aca="false">IF($A54="","",IF($D54="deterministic",0,ROUND(P6_Export!$C54*說明!$C$23,1)))</f>
        <v/>
      </c>
    </row>
    <row r="55" customFormat="false" ht="15" hidden="false" customHeight="false" outlineLevel="0" collapsed="false">
      <c r="A55" s="4" t="str">
        <f aca="false">IF(TRIM(P6_Export!A55)="","",TRIM(P6_Export!A55))</f>
        <v/>
      </c>
      <c r="B55" s="4" t="str">
        <f aca="false">IF($A55="","",P6_Export!B55)</f>
        <v/>
      </c>
      <c r="C55" s="4" t="str">
        <f aca="false">IF($A55="","",SUBSTITUTE(SUBSTITUTE(TRIM(P6_Export!D55)," ",""),",",";"))</f>
        <v/>
      </c>
      <c r="D55" s="4" t="str">
        <f aca="false">IF($A55="","",IF(P6_Export!$C55=0,"deterministic","triangular"))</f>
        <v/>
      </c>
      <c r="E55" s="4" t="str">
        <f aca="false">IF($A55="","",IF($D55="deterministic",0,ROUND(P6_Export!$C55*說明!$C$22,1)))</f>
        <v/>
      </c>
      <c r="F55" s="4" t="str">
        <f aca="false">IF($A55="","",P6_Export!$C55)</f>
        <v/>
      </c>
      <c r="G55" s="4" t="str">
        <f aca="false">IF($A55="","",IF($D55="deterministic",0,ROUND(P6_Export!$C55*說明!$C$23,1)))</f>
        <v/>
      </c>
    </row>
    <row r="56" customFormat="false" ht="15" hidden="false" customHeight="false" outlineLevel="0" collapsed="false">
      <c r="A56" s="4" t="str">
        <f aca="false">IF(TRIM(P6_Export!A56)="","",TRIM(P6_Export!A56))</f>
        <v/>
      </c>
      <c r="B56" s="4" t="str">
        <f aca="false">IF($A56="","",P6_Export!B56)</f>
        <v/>
      </c>
      <c r="C56" s="4" t="str">
        <f aca="false">IF($A56="","",SUBSTITUTE(SUBSTITUTE(TRIM(P6_Export!D56)," ",""),",",";"))</f>
        <v/>
      </c>
      <c r="D56" s="4" t="str">
        <f aca="false">IF($A56="","",IF(P6_Export!$C56=0,"deterministic","triangular"))</f>
        <v/>
      </c>
      <c r="E56" s="4" t="str">
        <f aca="false">IF($A56="","",IF($D56="deterministic",0,ROUND(P6_Export!$C56*說明!$C$22,1)))</f>
        <v/>
      </c>
      <c r="F56" s="4" t="str">
        <f aca="false">IF($A56="","",P6_Export!$C56)</f>
        <v/>
      </c>
      <c r="G56" s="4" t="str">
        <f aca="false">IF($A56="","",IF($D56="deterministic",0,ROUND(P6_Export!$C56*說明!$C$23,1)))</f>
        <v/>
      </c>
    </row>
    <row r="57" customFormat="false" ht="15" hidden="false" customHeight="false" outlineLevel="0" collapsed="false">
      <c r="A57" s="4" t="str">
        <f aca="false">IF(TRIM(P6_Export!A57)="","",TRIM(P6_Export!A57))</f>
        <v/>
      </c>
      <c r="B57" s="4" t="str">
        <f aca="false">IF($A57="","",P6_Export!B57)</f>
        <v/>
      </c>
      <c r="C57" s="4" t="str">
        <f aca="false">IF($A57="","",SUBSTITUTE(SUBSTITUTE(TRIM(P6_Export!D57)," ",""),",",";"))</f>
        <v/>
      </c>
      <c r="D57" s="4" t="str">
        <f aca="false">IF($A57="","",IF(P6_Export!$C57=0,"deterministic","triangular"))</f>
        <v/>
      </c>
      <c r="E57" s="4" t="str">
        <f aca="false">IF($A57="","",IF($D57="deterministic",0,ROUND(P6_Export!$C57*說明!$C$22,1)))</f>
        <v/>
      </c>
      <c r="F57" s="4" t="str">
        <f aca="false">IF($A57="","",P6_Export!$C57)</f>
        <v/>
      </c>
      <c r="G57" s="4" t="str">
        <f aca="false">IF($A57="","",IF($D57="deterministic",0,ROUND(P6_Export!$C57*說明!$C$23,1)))</f>
        <v/>
      </c>
    </row>
    <row r="58" customFormat="false" ht="15" hidden="false" customHeight="false" outlineLevel="0" collapsed="false">
      <c r="A58" s="4" t="str">
        <f aca="false">IF(TRIM(P6_Export!A58)="","",TRIM(P6_Export!A58))</f>
        <v/>
      </c>
      <c r="B58" s="4" t="str">
        <f aca="false">IF($A58="","",P6_Export!B58)</f>
        <v/>
      </c>
      <c r="C58" s="4" t="str">
        <f aca="false">IF($A58="","",SUBSTITUTE(SUBSTITUTE(TRIM(P6_Export!D58)," ",""),",",";"))</f>
        <v/>
      </c>
      <c r="D58" s="4" t="str">
        <f aca="false">IF($A58="","",IF(P6_Export!$C58=0,"deterministic","triangular"))</f>
        <v/>
      </c>
      <c r="E58" s="4" t="str">
        <f aca="false">IF($A58="","",IF($D58="deterministic",0,ROUND(P6_Export!$C58*說明!$C$22,1)))</f>
        <v/>
      </c>
      <c r="F58" s="4" t="str">
        <f aca="false">IF($A58="","",P6_Export!$C58)</f>
        <v/>
      </c>
      <c r="G58" s="4" t="str">
        <f aca="false">IF($A58="","",IF($D58="deterministic",0,ROUND(P6_Export!$C58*說明!$C$23,1)))</f>
        <v/>
      </c>
    </row>
    <row r="59" customFormat="false" ht="15" hidden="false" customHeight="false" outlineLevel="0" collapsed="false">
      <c r="A59" s="4" t="str">
        <f aca="false">IF(TRIM(P6_Export!A59)="","",TRIM(P6_Export!A59))</f>
        <v/>
      </c>
      <c r="B59" s="4" t="str">
        <f aca="false">IF($A59="","",P6_Export!B59)</f>
        <v/>
      </c>
      <c r="C59" s="4" t="str">
        <f aca="false">IF($A59="","",SUBSTITUTE(SUBSTITUTE(TRIM(P6_Export!D59)," ",""),",",";"))</f>
        <v/>
      </c>
      <c r="D59" s="4" t="str">
        <f aca="false">IF($A59="","",IF(P6_Export!$C59=0,"deterministic","triangular"))</f>
        <v/>
      </c>
      <c r="E59" s="4" t="str">
        <f aca="false">IF($A59="","",IF($D59="deterministic",0,ROUND(P6_Export!$C59*說明!$C$22,1)))</f>
        <v/>
      </c>
      <c r="F59" s="4" t="str">
        <f aca="false">IF($A59="","",P6_Export!$C59)</f>
        <v/>
      </c>
      <c r="G59" s="4" t="str">
        <f aca="false">IF($A59="","",IF($D59="deterministic",0,ROUND(P6_Export!$C59*說明!$C$23,1)))</f>
        <v/>
      </c>
    </row>
    <row r="60" customFormat="false" ht="15" hidden="false" customHeight="false" outlineLevel="0" collapsed="false">
      <c r="A60" s="4" t="str">
        <f aca="false">IF(TRIM(P6_Export!A60)="","",TRIM(P6_Export!A60))</f>
        <v/>
      </c>
      <c r="B60" s="4" t="str">
        <f aca="false">IF($A60="","",P6_Export!B60)</f>
        <v/>
      </c>
      <c r="C60" s="4" t="str">
        <f aca="false">IF($A60="","",SUBSTITUTE(SUBSTITUTE(TRIM(P6_Export!D60)," ",""),",",";"))</f>
        <v/>
      </c>
      <c r="D60" s="4" t="str">
        <f aca="false">IF($A60="","",IF(P6_Export!$C60=0,"deterministic","triangular"))</f>
        <v/>
      </c>
      <c r="E60" s="4" t="str">
        <f aca="false">IF($A60="","",IF($D60="deterministic",0,ROUND(P6_Export!$C60*說明!$C$22,1)))</f>
        <v/>
      </c>
      <c r="F60" s="4" t="str">
        <f aca="false">IF($A60="","",P6_Export!$C60)</f>
        <v/>
      </c>
      <c r="G60" s="4" t="str">
        <f aca="false">IF($A60="","",IF($D60="deterministic",0,ROUND(P6_Export!$C60*說明!$C$23,1)))</f>
        <v/>
      </c>
    </row>
    <row r="61" customFormat="false" ht="15" hidden="false" customHeight="false" outlineLevel="0" collapsed="false">
      <c r="A61" s="4" t="str">
        <f aca="false">IF(TRIM(P6_Export!A61)="","",TRIM(P6_Export!A61))</f>
        <v/>
      </c>
      <c r="B61" s="4" t="str">
        <f aca="false">IF($A61="","",P6_Export!B61)</f>
        <v/>
      </c>
      <c r="C61" s="4" t="str">
        <f aca="false">IF($A61="","",SUBSTITUTE(SUBSTITUTE(TRIM(P6_Export!D61)," ",""),",",";"))</f>
        <v/>
      </c>
      <c r="D61" s="4" t="str">
        <f aca="false">IF($A61="","",IF(P6_Export!$C61=0,"deterministic","triangular"))</f>
        <v/>
      </c>
      <c r="E61" s="4" t="str">
        <f aca="false">IF($A61="","",IF($D61="deterministic",0,ROUND(P6_Export!$C61*說明!$C$22,1)))</f>
        <v/>
      </c>
      <c r="F61" s="4" t="str">
        <f aca="false">IF($A61="","",P6_Export!$C61)</f>
        <v/>
      </c>
      <c r="G61" s="4" t="str">
        <f aca="false">IF($A61="","",IF($D61="deterministic",0,ROUND(P6_Export!$C61*說明!$C$23,1)))</f>
        <v/>
      </c>
    </row>
    <row r="62" customFormat="false" ht="15" hidden="false" customHeight="false" outlineLevel="0" collapsed="false">
      <c r="A62" s="4" t="str">
        <f aca="false">IF(TRIM(P6_Export!A62)="","",TRIM(P6_Export!A62))</f>
        <v/>
      </c>
      <c r="B62" s="4" t="str">
        <f aca="false">IF($A62="","",P6_Export!B62)</f>
        <v/>
      </c>
      <c r="C62" s="4" t="str">
        <f aca="false">IF($A62="","",SUBSTITUTE(SUBSTITUTE(TRIM(P6_Export!D62)," ",""),",",";"))</f>
        <v/>
      </c>
      <c r="D62" s="4" t="str">
        <f aca="false">IF($A62="","",IF(P6_Export!$C62=0,"deterministic","triangular"))</f>
        <v/>
      </c>
      <c r="E62" s="4" t="str">
        <f aca="false">IF($A62="","",IF($D62="deterministic",0,ROUND(P6_Export!$C62*說明!$C$22,1)))</f>
        <v/>
      </c>
      <c r="F62" s="4" t="str">
        <f aca="false">IF($A62="","",P6_Export!$C62)</f>
        <v/>
      </c>
      <c r="G62" s="4" t="str">
        <f aca="false">IF($A62="","",IF($D62="deterministic",0,ROUND(P6_Export!$C62*說明!$C$23,1)))</f>
        <v/>
      </c>
    </row>
    <row r="63" customFormat="false" ht="15" hidden="false" customHeight="false" outlineLevel="0" collapsed="false">
      <c r="A63" s="4" t="str">
        <f aca="false">IF(TRIM(P6_Export!A63)="","",TRIM(P6_Export!A63))</f>
        <v/>
      </c>
      <c r="B63" s="4" t="str">
        <f aca="false">IF($A63="","",P6_Export!B63)</f>
        <v/>
      </c>
      <c r="C63" s="4" t="str">
        <f aca="false">IF($A63="","",SUBSTITUTE(SUBSTITUTE(TRIM(P6_Export!D63)," ",""),",",";"))</f>
        <v/>
      </c>
      <c r="D63" s="4" t="str">
        <f aca="false">IF($A63="","",IF(P6_Export!$C63=0,"deterministic","triangular"))</f>
        <v/>
      </c>
      <c r="E63" s="4" t="str">
        <f aca="false">IF($A63="","",IF($D63="deterministic",0,ROUND(P6_Export!$C63*說明!$C$22,1)))</f>
        <v/>
      </c>
      <c r="F63" s="4" t="str">
        <f aca="false">IF($A63="","",P6_Export!$C63)</f>
        <v/>
      </c>
      <c r="G63" s="4" t="str">
        <f aca="false">IF($A63="","",IF($D63="deterministic",0,ROUND(P6_Export!$C63*說明!$C$23,1)))</f>
        <v/>
      </c>
    </row>
    <row r="64" customFormat="false" ht="15" hidden="false" customHeight="false" outlineLevel="0" collapsed="false">
      <c r="A64" s="4" t="str">
        <f aca="false">IF(TRIM(P6_Export!A64)="","",TRIM(P6_Export!A64))</f>
        <v/>
      </c>
      <c r="B64" s="4" t="str">
        <f aca="false">IF($A64="","",P6_Export!B64)</f>
        <v/>
      </c>
      <c r="C64" s="4" t="str">
        <f aca="false">IF($A64="","",SUBSTITUTE(SUBSTITUTE(TRIM(P6_Export!D64)," ",""),",",";"))</f>
        <v/>
      </c>
      <c r="D64" s="4" t="str">
        <f aca="false">IF($A64="","",IF(P6_Export!$C64=0,"deterministic","triangular"))</f>
        <v/>
      </c>
      <c r="E64" s="4" t="str">
        <f aca="false">IF($A64="","",IF($D64="deterministic",0,ROUND(P6_Export!$C64*說明!$C$22,1)))</f>
        <v/>
      </c>
      <c r="F64" s="4" t="str">
        <f aca="false">IF($A64="","",P6_Export!$C64)</f>
        <v/>
      </c>
      <c r="G64" s="4" t="str">
        <f aca="false">IF($A64="","",IF($D64="deterministic",0,ROUND(P6_Export!$C64*說明!$C$23,1)))</f>
        <v/>
      </c>
    </row>
    <row r="65" customFormat="false" ht="15" hidden="false" customHeight="false" outlineLevel="0" collapsed="false">
      <c r="A65" s="4" t="str">
        <f aca="false">IF(TRIM(P6_Export!A65)="","",TRIM(P6_Export!A65))</f>
        <v/>
      </c>
      <c r="B65" s="4" t="str">
        <f aca="false">IF($A65="","",P6_Export!B65)</f>
        <v/>
      </c>
      <c r="C65" s="4" t="str">
        <f aca="false">IF($A65="","",SUBSTITUTE(SUBSTITUTE(TRIM(P6_Export!D65)," ",""),",",";"))</f>
        <v/>
      </c>
      <c r="D65" s="4" t="str">
        <f aca="false">IF($A65="","",IF(P6_Export!$C65=0,"deterministic","triangular"))</f>
        <v/>
      </c>
      <c r="E65" s="4" t="str">
        <f aca="false">IF($A65="","",IF($D65="deterministic",0,ROUND(P6_Export!$C65*說明!$C$22,1)))</f>
        <v/>
      </c>
      <c r="F65" s="4" t="str">
        <f aca="false">IF($A65="","",P6_Export!$C65)</f>
        <v/>
      </c>
      <c r="G65" s="4" t="str">
        <f aca="false">IF($A65="","",IF($D65="deterministic",0,ROUND(P6_Export!$C65*說明!$C$23,1)))</f>
        <v/>
      </c>
    </row>
    <row r="66" customFormat="false" ht="15" hidden="false" customHeight="false" outlineLevel="0" collapsed="false">
      <c r="A66" s="4" t="str">
        <f aca="false">IF(TRIM(P6_Export!A66)="","",TRIM(P6_Export!A66))</f>
        <v/>
      </c>
      <c r="B66" s="4" t="str">
        <f aca="false">IF($A66="","",P6_Export!B66)</f>
        <v/>
      </c>
      <c r="C66" s="4" t="str">
        <f aca="false">IF($A66="","",SUBSTITUTE(SUBSTITUTE(TRIM(P6_Export!D66)," ",""),",",";"))</f>
        <v/>
      </c>
      <c r="D66" s="4" t="str">
        <f aca="false">IF($A66="","",IF(P6_Export!$C66=0,"deterministic","triangular"))</f>
        <v/>
      </c>
      <c r="E66" s="4" t="str">
        <f aca="false">IF($A66="","",IF($D66="deterministic",0,ROUND(P6_Export!$C66*說明!$C$22,1)))</f>
        <v/>
      </c>
      <c r="F66" s="4" t="str">
        <f aca="false">IF($A66="","",P6_Export!$C66)</f>
        <v/>
      </c>
      <c r="G66" s="4" t="str">
        <f aca="false">IF($A66="","",IF($D66="deterministic",0,ROUND(P6_Export!$C66*說明!$C$23,1)))</f>
        <v/>
      </c>
    </row>
    <row r="67" customFormat="false" ht="15" hidden="false" customHeight="false" outlineLevel="0" collapsed="false">
      <c r="A67" s="4" t="str">
        <f aca="false">IF(TRIM(P6_Export!A67)="","",TRIM(P6_Export!A67))</f>
        <v/>
      </c>
      <c r="B67" s="4" t="str">
        <f aca="false">IF($A67="","",P6_Export!B67)</f>
        <v/>
      </c>
      <c r="C67" s="4" t="str">
        <f aca="false">IF($A67="","",SUBSTITUTE(SUBSTITUTE(TRIM(P6_Export!D67)," ",""),",",";"))</f>
        <v/>
      </c>
      <c r="D67" s="4" t="str">
        <f aca="false">IF($A67="","",IF(P6_Export!$C67=0,"deterministic","triangular"))</f>
        <v/>
      </c>
      <c r="E67" s="4" t="str">
        <f aca="false">IF($A67="","",IF($D67="deterministic",0,ROUND(P6_Export!$C67*說明!$C$22,1)))</f>
        <v/>
      </c>
      <c r="F67" s="4" t="str">
        <f aca="false">IF($A67="","",P6_Export!$C67)</f>
        <v/>
      </c>
      <c r="G67" s="4" t="str">
        <f aca="false">IF($A67="","",IF($D67="deterministic",0,ROUND(P6_Export!$C67*說明!$C$23,1)))</f>
        <v/>
      </c>
    </row>
    <row r="68" customFormat="false" ht="15" hidden="false" customHeight="false" outlineLevel="0" collapsed="false">
      <c r="A68" s="4" t="str">
        <f aca="false">IF(TRIM(P6_Export!A68)="","",TRIM(P6_Export!A68))</f>
        <v/>
      </c>
      <c r="B68" s="4" t="str">
        <f aca="false">IF($A68="","",P6_Export!B68)</f>
        <v/>
      </c>
      <c r="C68" s="4" t="str">
        <f aca="false">IF($A68="","",SUBSTITUTE(SUBSTITUTE(TRIM(P6_Export!D68)," ",""),",",";"))</f>
        <v/>
      </c>
      <c r="D68" s="4" t="str">
        <f aca="false">IF($A68="","",IF(P6_Export!$C68=0,"deterministic","triangular"))</f>
        <v/>
      </c>
      <c r="E68" s="4" t="str">
        <f aca="false">IF($A68="","",IF($D68="deterministic",0,ROUND(P6_Export!$C68*說明!$C$22,1)))</f>
        <v/>
      </c>
      <c r="F68" s="4" t="str">
        <f aca="false">IF($A68="","",P6_Export!$C68)</f>
        <v/>
      </c>
      <c r="G68" s="4" t="str">
        <f aca="false">IF($A68="","",IF($D68="deterministic",0,ROUND(P6_Export!$C68*說明!$C$23,1)))</f>
        <v/>
      </c>
    </row>
    <row r="69" customFormat="false" ht="15" hidden="false" customHeight="false" outlineLevel="0" collapsed="false">
      <c r="A69" s="4" t="str">
        <f aca="false">IF(TRIM(P6_Export!A69)="","",TRIM(P6_Export!A69))</f>
        <v/>
      </c>
      <c r="B69" s="4" t="str">
        <f aca="false">IF($A69="","",P6_Export!B69)</f>
        <v/>
      </c>
      <c r="C69" s="4" t="str">
        <f aca="false">IF($A69="","",SUBSTITUTE(SUBSTITUTE(TRIM(P6_Export!D69)," ",""),",",";"))</f>
        <v/>
      </c>
      <c r="D69" s="4" t="str">
        <f aca="false">IF($A69="","",IF(P6_Export!$C69=0,"deterministic","triangular"))</f>
        <v/>
      </c>
      <c r="E69" s="4" t="str">
        <f aca="false">IF($A69="","",IF($D69="deterministic",0,ROUND(P6_Export!$C69*說明!$C$22,1)))</f>
        <v/>
      </c>
      <c r="F69" s="4" t="str">
        <f aca="false">IF($A69="","",P6_Export!$C69)</f>
        <v/>
      </c>
      <c r="G69" s="4" t="str">
        <f aca="false">IF($A69="","",IF($D69="deterministic",0,ROUND(P6_Export!$C69*說明!$C$23,1)))</f>
        <v/>
      </c>
    </row>
    <row r="70" customFormat="false" ht="15" hidden="false" customHeight="false" outlineLevel="0" collapsed="false">
      <c r="A70" s="4" t="str">
        <f aca="false">IF(TRIM(P6_Export!A70)="","",TRIM(P6_Export!A70))</f>
        <v/>
      </c>
      <c r="B70" s="4" t="str">
        <f aca="false">IF($A70="","",P6_Export!B70)</f>
        <v/>
      </c>
      <c r="C70" s="4" t="str">
        <f aca="false">IF($A70="","",SUBSTITUTE(SUBSTITUTE(TRIM(P6_Export!D70)," ",""),",",";"))</f>
        <v/>
      </c>
      <c r="D70" s="4" t="str">
        <f aca="false">IF($A70="","",IF(P6_Export!$C70=0,"deterministic","triangular"))</f>
        <v/>
      </c>
      <c r="E70" s="4" t="str">
        <f aca="false">IF($A70="","",IF($D70="deterministic",0,ROUND(P6_Export!$C70*說明!$C$22,1)))</f>
        <v/>
      </c>
      <c r="F70" s="4" t="str">
        <f aca="false">IF($A70="","",P6_Export!$C70)</f>
        <v/>
      </c>
      <c r="G70" s="4" t="str">
        <f aca="false">IF($A70="","",IF($D70="deterministic",0,ROUND(P6_Export!$C70*說明!$C$23,1)))</f>
        <v/>
      </c>
    </row>
    <row r="71" customFormat="false" ht="15" hidden="false" customHeight="false" outlineLevel="0" collapsed="false">
      <c r="A71" s="4" t="str">
        <f aca="false">IF(TRIM(P6_Export!A71)="","",TRIM(P6_Export!A71))</f>
        <v/>
      </c>
      <c r="B71" s="4" t="str">
        <f aca="false">IF($A71="","",P6_Export!B71)</f>
        <v/>
      </c>
      <c r="C71" s="4" t="str">
        <f aca="false">IF($A71="","",SUBSTITUTE(SUBSTITUTE(TRIM(P6_Export!D71)," ",""),",",";"))</f>
        <v/>
      </c>
      <c r="D71" s="4" t="str">
        <f aca="false">IF($A71="","",IF(P6_Export!$C71=0,"deterministic","triangular"))</f>
        <v/>
      </c>
      <c r="E71" s="4" t="str">
        <f aca="false">IF($A71="","",IF($D71="deterministic",0,ROUND(P6_Export!$C71*說明!$C$22,1)))</f>
        <v/>
      </c>
      <c r="F71" s="4" t="str">
        <f aca="false">IF($A71="","",P6_Export!$C71)</f>
        <v/>
      </c>
      <c r="G71" s="4" t="str">
        <f aca="false">IF($A71="","",IF($D71="deterministic",0,ROUND(P6_Export!$C71*說明!$C$23,1)))</f>
        <v/>
      </c>
    </row>
    <row r="72" customFormat="false" ht="15" hidden="false" customHeight="false" outlineLevel="0" collapsed="false">
      <c r="A72" s="4" t="str">
        <f aca="false">IF(TRIM(P6_Export!A72)="","",TRIM(P6_Export!A72))</f>
        <v/>
      </c>
      <c r="B72" s="4" t="str">
        <f aca="false">IF($A72="","",P6_Export!B72)</f>
        <v/>
      </c>
      <c r="C72" s="4" t="str">
        <f aca="false">IF($A72="","",SUBSTITUTE(SUBSTITUTE(TRIM(P6_Export!D72)," ",""),",",";"))</f>
        <v/>
      </c>
      <c r="D72" s="4" t="str">
        <f aca="false">IF($A72="","",IF(P6_Export!$C72=0,"deterministic","triangular"))</f>
        <v/>
      </c>
      <c r="E72" s="4" t="str">
        <f aca="false">IF($A72="","",IF($D72="deterministic",0,ROUND(P6_Export!$C72*說明!$C$22,1)))</f>
        <v/>
      </c>
      <c r="F72" s="4" t="str">
        <f aca="false">IF($A72="","",P6_Export!$C72)</f>
        <v/>
      </c>
      <c r="G72" s="4" t="str">
        <f aca="false">IF($A72="","",IF($D72="deterministic",0,ROUND(P6_Export!$C72*說明!$C$23,1)))</f>
        <v/>
      </c>
    </row>
    <row r="73" customFormat="false" ht="15" hidden="false" customHeight="false" outlineLevel="0" collapsed="false">
      <c r="A73" s="4" t="str">
        <f aca="false">IF(TRIM(P6_Export!A73)="","",TRIM(P6_Export!A73))</f>
        <v/>
      </c>
      <c r="B73" s="4" t="str">
        <f aca="false">IF($A73="","",P6_Export!B73)</f>
        <v/>
      </c>
      <c r="C73" s="4" t="str">
        <f aca="false">IF($A73="","",SUBSTITUTE(SUBSTITUTE(TRIM(P6_Export!D73)," ",""),",",";"))</f>
        <v/>
      </c>
      <c r="D73" s="4" t="str">
        <f aca="false">IF($A73="","",IF(P6_Export!$C73=0,"deterministic","triangular"))</f>
        <v/>
      </c>
      <c r="E73" s="4" t="str">
        <f aca="false">IF($A73="","",IF($D73="deterministic",0,ROUND(P6_Export!$C73*說明!$C$22,1)))</f>
        <v/>
      </c>
      <c r="F73" s="4" t="str">
        <f aca="false">IF($A73="","",P6_Export!$C73)</f>
        <v/>
      </c>
      <c r="G73" s="4" t="str">
        <f aca="false">IF($A73="","",IF($D73="deterministic",0,ROUND(P6_Export!$C73*說明!$C$23,1)))</f>
        <v/>
      </c>
    </row>
    <row r="74" customFormat="false" ht="15" hidden="false" customHeight="false" outlineLevel="0" collapsed="false">
      <c r="A74" s="4" t="str">
        <f aca="false">IF(TRIM(P6_Export!A74)="","",TRIM(P6_Export!A74))</f>
        <v/>
      </c>
      <c r="B74" s="4" t="str">
        <f aca="false">IF($A74="","",P6_Export!B74)</f>
        <v/>
      </c>
      <c r="C74" s="4" t="str">
        <f aca="false">IF($A74="","",SUBSTITUTE(SUBSTITUTE(TRIM(P6_Export!D74)," ",""),",",";"))</f>
        <v/>
      </c>
      <c r="D74" s="4" t="str">
        <f aca="false">IF($A74="","",IF(P6_Export!$C74=0,"deterministic","triangular"))</f>
        <v/>
      </c>
      <c r="E74" s="4" t="str">
        <f aca="false">IF($A74="","",IF($D74="deterministic",0,ROUND(P6_Export!$C74*說明!$C$22,1)))</f>
        <v/>
      </c>
      <c r="F74" s="4" t="str">
        <f aca="false">IF($A74="","",P6_Export!$C74)</f>
        <v/>
      </c>
      <c r="G74" s="4" t="str">
        <f aca="false">IF($A74="","",IF($D74="deterministic",0,ROUND(P6_Export!$C74*說明!$C$23,1)))</f>
        <v/>
      </c>
    </row>
    <row r="75" customFormat="false" ht="15" hidden="false" customHeight="false" outlineLevel="0" collapsed="false">
      <c r="A75" s="4" t="str">
        <f aca="false">IF(TRIM(P6_Export!A75)="","",TRIM(P6_Export!A75))</f>
        <v/>
      </c>
      <c r="B75" s="4" t="str">
        <f aca="false">IF($A75="","",P6_Export!B75)</f>
        <v/>
      </c>
      <c r="C75" s="4" t="str">
        <f aca="false">IF($A75="","",SUBSTITUTE(SUBSTITUTE(TRIM(P6_Export!D75)," ",""),",",";"))</f>
        <v/>
      </c>
      <c r="D75" s="4" t="str">
        <f aca="false">IF($A75="","",IF(P6_Export!$C75=0,"deterministic","triangular"))</f>
        <v/>
      </c>
      <c r="E75" s="4" t="str">
        <f aca="false">IF($A75="","",IF($D75="deterministic",0,ROUND(P6_Export!$C75*說明!$C$22,1)))</f>
        <v/>
      </c>
      <c r="F75" s="4" t="str">
        <f aca="false">IF($A75="","",P6_Export!$C75)</f>
        <v/>
      </c>
      <c r="G75" s="4" t="str">
        <f aca="false">IF($A75="","",IF($D75="deterministic",0,ROUND(P6_Export!$C75*說明!$C$23,1)))</f>
        <v/>
      </c>
    </row>
    <row r="76" customFormat="false" ht="15" hidden="false" customHeight="false" outlineLevel="0" collapsed="false">
      <c r="A76" s="4" t="str">
        <f aca="false">IF(TRIM(P6_Export!A76)="","",TRIM(P6_Export!A76))</f>
        <v/>
      </c>
      <c r="B76" s="4" t="str">
        <f aca="false">IF($A76="","",P6_Export!B76)</f>
        <v/>
      </c>
      <c r="C76" s="4" t="str">
        <f aca="false">IF($A76="","",SUBSTITUTE(SUBSTITUTE(TRIM(P6_Export!D76)," ",""),",",";"))</f>
        <v/>
      </c>
      <c r="D76" s="4" t="str">
        <f aca="false">IF($A76="","",IF(P6_Export!$C76=0,"deterministic","triangular"))</f>
        <v/>
      </c>
      <c r="E76" s="4" t="str">
        <f aca="false">IF($A76="","",IF($D76="deterministic",0,ROUND(P6_Export!$C76*說明!$C$22,1)))</f>
        <v/>
      </c>
      <c r="F76" s="4" t="str">
        <f aca="false">IF($A76="","",P6_Export!$C76)</f>
        <v/>
      </c>
      <c r="G76" s="4" t="str">
        <f aca="false">IF($A76="","",IF($D76="deterministic",0,ROUND(P6_Export!$C76*說明!$C$23,1)))</f>
        <v/>
      </c>
    </row>
    <row r="77" customFormat="false" ht="15" hidden="false" customHeight="false" outlineLevel="0" collapsed="false">
      <c r="A77" s="4" t="str">
        <f aca="false">IF(TRIM(P6_Export!A77)="","",TRIM(P6_Export!A77))</f>
        <v/>
      </c>
      <c r="B77" s="4" t="str">
        <f aca="false">IF($A77="","",P6_Export!B77)</f>
        <v/>
      </c>
      <c r="C77" s="4" t="str">
        <f aca="false">IF($A77="","",SUBSTITUTE(SUBSTITUTE(TRIM(P6_Export!D77)," ",""),",",";"))</f>
        <v/>
      </c>
      <c r="D77" s="4" t="str">
        <f aca="false">IF($A77="","",IF(P6_Export!$C77=0,"deterministic","triangular"))</f>
        <v/>
      </c>
      <c r="E77" s="4" t="str">
        <f aca="false">IF($A77="","",IF($D77="deterministic",0,ROUND(P6_Export!$C77*說明!$C$22,1)))</f>
        <v/>
      </c>
      <c r="F77" s="4" t="str">
        <f aca="false">IF($A77="","",P6_Export!$C77)</f>
        <v/>
      </c>
      <c r="G77" s="4" t="str">
        <f aca="false">IF($A77="","",IF($D77="deterministic",0,ROUND(P6_Export!$C77*說明!$C$23,1)))</f>
        <v/>
      </c>
    </row>
    <row r="78" customFormat="false" ht="15" hidden="false" customHeight="false" outlineLevel="0" collapsed="false">
      <c r="A78" s="4" t="str">
        <f aca="false">IF(TRIM(P6_Export!A78)="","",TRIM(P6_Export!A78))</f>
        <v/>
      </c>
      <c r="B78" s="4" t="str">
        <f aca="false">IF($A78="","",P6_Export!B78)</f>
        <v/>
      </c>
      <c r="C78" s="4" t="str">
        <f aca="false">IF($A78="","",SUBSTITUTE(SUBSTITUTE(TRIM(P6_Export!D78)," ",""),",",";"))</f>
        <v/>
      </c>
      <c r="D78" s="4" t="str">
        <f aca="false">IF($A78="","",IF(P6_Export!$C78=0,"deterministic","triangular"))</f>
        <v/>
      </c>
      <c r="E78" s="4" t="str">
        <f aca="false">IF($A78="","",IF($D78="deterministic",0,ROUND(P6_Export!$C78*說明!$C$22,1)))</f>
        <v/>
      </c>
      <c r="F78" s="4" t="str">
        <f aca="false">IF($A78="","",P6_Export!$C78)</f>
        <v/>
      </c>
      <c r="G78" s="4" t="str">
        <f aca="false">IF($A78="","",IF($D78="deterministic",0,ROUND(P6_Export!$C78*說明!$C$23,1)))</f>
        <v/>
      </c>
    </row>
    <row r="79" customFormat="false" ht="15" hidden="false" customHeight="false" outlineLevel="0" collapsed="false">
      <c r="A79" s="4" t="str">
        <f aca="false">IF(TRIM(P6_Export!A79)="","",TRIM(P6_Export!A79))</f>
        <v/>
      </c>
      <c r="B79" s="4" t="str">
        <f aca="false">IF($A79="","",P6_Export!B79)</f>
        <v/>
      </c>
      <c r="C79" s="4" t="str">
        <f aca="false">IF($A79="","",SUBSTITUTE(SUBSTITUTE(TRIM(P6_Export!D79)," ",""),",",";"))</f>
        <v/>
      </c>
      <c r="D79" s="4" t="str">
        <f aca="false">IF($A79="","",IF(P6_Export!$C79=0,"deterministic","triangular"))</f>
        <v/>
      </c>
      <c r="E79" s="4" t="str">
        <f aca="false">IF($A79="","",IF($D79="deterministic",0,ROUND(P6_Export!$C79*說明!$C$22,1)))</f>
        <v/>
      </c>
      <c r="F79" s="4" t="str">
        <f aca="false">IF($A79="","",P6_Export!$C79)</f>
        <v/>
      </c>
      <c r="G79" s="4" t="str">
        <f aca="false">IF($A79="","",IF($D79="deterministic",0,ROUND(P6_Export!$C79*說明!$C$23,1)))</f>
        <v/>
      </c>
    </row>
    <row r="80" customFormat="false" ht="15" hidden="false" customHeight="false" outlineLevel="0" collapsed="false">
      <c r="A80" s="4" t="str">
        <f aca="false">IF(TRIM(P6_Export!A80)="","",TRIM(P6_Export!A80))</f>
        <v/>
      </c>
      <c r="B80" s="4" t="str">
        <f aca="false">IF($A80="","",P6_Export!B80)</f>
        <v/>
      </c>
      <c r="C80" s="4" t="str">
        <f aca="false">IF($A80="","",SUBSTITUTE(SUBSTITUTE(TRIM(P6_Export!D80)," ",""),",",";"))</f>
        <v/>
      </c>
      <c r="D80" s="4" t="str">
        <f aca="false">IF($A80="","",IF(P6_Export!$C80=0,"deterministic","triangular"))</f>
        <v/>
      </c>
      <c r="E80" s="4" t="str">
        <f aca="false">IF($A80="","",IF($D80="deterministic",0,ROUND(P6_Export!$C80*說明!$C$22,1)))</f>
        <v/>
      </c>
      <c r="F80" s="4" t="str">
        <f aca="false">IF($A80="","",P6_Export!$C80)</f>
        <v/>
      </c>
      <c r="G80" s="4" t="str">
        <f aca="false">IF($A80="","",IF($D80="deterministic",0,ROUND(P6_Export!$C80*說明!$C$23,1)))</f>
        <v/>
      </c>
    </row>
    <row r="81" customFormat="false" ht="15" hidden="false" customHeight="false" outlineLevel="0" collapsed="false">
      <c r="A81" s="4" t="str">
        <f aca="false">IF(TRIM(P6_Export!A81)="","",TRIM(P6_Export!A81))</f>
        <v/>
      </c>
      <c r="B81" s="4" t="str">
        <f aca="false">IF($A81="","",P6_Export!B81)</f>
        <v/>
      </c>
      <c r="C81" s="4" t="str">
        <f aca="false">IF($A81="","",SUBSTITUTE(SUBSTITUTE(TRIM(P6_Export!D81)," ",""),",",";"))</f>
        <v/>
      </c>
      <c r="D81" s="4" t="str">
        <f aca="false">IF($A81="","",IF(P6_Export!$C81=0,"deterministic","triangular"))</f>
        <v/>
      </c>
      <c r="E81" s="4" t="str">
        <f aca="false">IF($A81="","",IF($D81="deterministic",0,ROUND(P6_Export!$C81*說明!$C$22,1)))</f>
        <v/>
      </c>
      <c r="F81" s="4" t="str">
        <f aca="false">IF($A81="","",P6_Export!$C81)</f>
        <v/>
      </c>
      <c r="G81" s="4" t="str">
        <f aca="false">IF($A81="","",IF($D81="deterministic",0,ROUND(P6_Export!$C81*說明!$C$23,1)))</f>
        <v/>
      </c>
    </row>
    <row r="82" customFormat="false" ht="15" hidden="false" customHeight="false" outlineLevel="0" collapsed="false">
      <c r="A82" s="4" t="str">
        <f aca="false">IF(TRIM(P6_Export!A82)="","",TRIM(P6_Export!A82))</f>
        <v/>
      </c>
      <c r="B82" s="4" t="str">
        <f aca="false">IF($A82="","",P6_Export!B82)</f>
        <v/>
      </c>
      <c r="C82" s="4" t="str">
        <f aca="false">IF($A82="","",SUBSTITUTE(SUBSTITUTE(TRIM(P6_Export!D82)," ",""),",",";"))</f>
        <v/>
      </c>
      <c r="D82" s="4" t="str">
        <f aca="false">IF($A82="","",IF(P6_Export!$C82=0,"deterministic","triangular"))</f>
        <v/>
      </c>
      <c r="E82" s="4" t="str">
        <f aca="false">IF($A82="","",IF($D82="deterministic",0,ROUND(P6_Export!$C82*說明!$C$22,1)))</f>
        <v/>
      </c>
      <c r="F82" s="4" t="str">
        <f aca="false">IF($A82="","",P6_Export!$C82)</f>
        <v/>
      </c>
      <c r="G82" s="4" t="str">
        <f aca="false">IF($A82="","",IF($D82="deterministic",0,ROUND(P6_Export!$C82*說明!$C$23,1)))</f>
        <v/>
      </c>
    </row>
    <row r="83" customFormat="false" ht="15" hidden="false" customHeight="false" outlineLevel="0" collapsed="false">
      <c r="A83" s="4" t="str">
        <f aca="false">IF(TRIM(P6_Export!A83)="","",TRIM(P6_Export!A83))</f>
        <v/>
      </c>
      <c r="B83" s="4" t="str">
        <f aca="false">IF($A83="","",P6_Export!B83)</f>
        <v/>
      </c>
      <c r="C83" s="4" t="str">
        <f aca="false">IF($A83="","",SUBSTITUTE(SUBSTITUTE(TRIM(P6_Export!D83)," ",""),",",";"))</f>
        <v/>
      </c>
      <c r="D83" s="4" t="str">
        <f aca="false">IF($A83="","",IF(P6_Export!$C83=0,"deterministic","triangular"))</f>
        <v/>
      </c>
      <c r="E83" s="4" t="str">
        <f aca="false">IF($A83="","",IF($D83="deterministic",0,ROUND(P6_Export!$C83*說明!$C$22,1)))</f>
        <v/>
      </c>
      <c r="F83" s="4" t="str">
        <f aca="false">IF($A83="","",P6_Export!$C83)</f>
        <v/>
      </c>
      <c r="G83" s="4" t="str">
        <f aca="false">IF($A83="","",IF($D83="deterministic",0,ROUND(P6_Export!$C83*說明!$C$23,1)))</f>
        <v/>
      </c>
    </row>
    <row r="84" customFormat="false" ht="15" hidden="false" customHeight="false" outlineLevel="0" collapsed="false">
      <c r="A84" s="4" t="str">
        <f aca="false">IF(TRIM(P6_Export!A84)="","",TRIM(P6_Export!A84))</f>
        <v/>
      </c>
      <c r="B84" s="4" t="str">
        <f aca="false">IF($A84="","",P6_Export!B84)</f>
        <v/>
      </c>
      <c r="C84" s="4" t="str">
        <f aca="false">IF($A84="","",SUBSTITUTE(SUBSTITUTE(TRIM(P6_Export!D84)," ",""),",",";"))</f>
        <v/>
      </c>
      <c r="D84" s="4" t="str">
        <f aca="false">IF($A84="","",IF(P6_Export!$C84=0,"deterministic","triangular"))</f>
        <v/>
      </c>
      <c r="E84" s="4" t="str">
        <f aca="false">IF($A84="","",IF($D84="deterministic",0,ROUND(P6_Export!$C84*說明!$C$22,1)))</f>
        <v/>
      </c>
      <c r="F84" s="4" t="str">
        <f aca="false">IF($A84="","",P6_Export!$C84)</f>
        <v/>
      </c>
      <c r="G84" s="4" t="str">
        <f aca="false">IF($A84="","",IF($D84="deterministic",0,ROUND(P6_Export!$C84*說明!$C$23,1)))</f>
        <v/>
      </c>
    </row>
    <row r="85" customFormat="false" ht="15" hidden="false" customHeight="false" outlineLevel="0" collapsed="false">
      <c r="A85" s="4" t="str">
        <f aca="false">IF(TRIM(P6_Export!A85)="","",TRIM(P6_Export!A85))</f>
        <v/>
      </c>
      <c r="B85" s="4" t="str">
        <f aca="false">IF($A85="","",P6_Export!B85)</f>
        <v/>
      </c>
      <c r="C85" s="4" t="str">
        <f aca="false">IF($A85="","",SUBSTITUTE(SUBSTITUTE(TRIM(P6_Export!D85)," ",""),",",";"))</f>
        <v/>
      </c>
      <c r="D85" s="4" t="str">
        <f aca="false">IF($A85="","",IF(P6_Export!$C85=0,"deterministic","triangular"))</f>
        <v/>
      </c>
      <c r="E85" s="4" t="str">
        <f aca="false">IF($A85="","",IF($D85="deterministic",0,ROUND(P6_Export!$C85*說明!$C$22,1)))</f>
        <v/>
      </c>
      <c r="F85" s="4" t="str">
        <f aca="false">IF($A85="","",P6_Export!$C85)</f>
        <v/>
      </c>
      <c r="G85" s="4" t="str">
        <f aca="false">IF($A85="","",IF($D85="deterministic",0,ROUND(P6_Export!$C85*說明!$C$23,1)))</f>
        <v/>
      </c>
    </row>
    <row r="86" customFormat="false" ht="15" hidden="false" customHeight="false" outlineLevel="0" collapsed="false">
      <c r="A86" s="4" t="str">
        <f aca="false">IF(TRIM(P6_Export!A86)="","",TRIM(P6_Export!A86))</f>
        <v/>
      </c>
      <c r="B86" s="4" t="str">
        <f aca="false">IF($A86="","",P6_Export!B86)</f>
        <v/>
      </c>
      <c r="C86" s="4" t="str">
        <f aca="false">IF($A86="","",SUBSTITUTE(SUBSTITUTE(TRIM(P6_Export!D86)," ",""),",",";"))</f>
        <v/>
      </c>
      <c r="D86" s="4" t="str">
        <f aca="false">IF($A86="","",IF(P6_Export!$C86=0,"deterministic","triangular"))</f>
        <v/>
      </c>
      <c r="E86" s="4" t="str">
        <f aca="false">IF($A86="","",IF($D86="deterministic",0,ROUND(P6_Export!$C86*說明!$C$22,1)))</f>
        <v/>
      </c>
      <c r="F86" s="4" t="str">
        <f aca="false">IF($A86="","",P6_Export!$C86)</f>
        <v/>
      </c>
      <c r="G86" s="4" t="str">
        <f aca="false">IF($A86="","",IF($D86="deterministic",0,ROUND(P6_Export!$C86*說明!$C$23,1)))</f>
        <v/>
      </c>
    </row>
    <row r="87" customFormat="false" ht="15" hidden="false" customHeight="false" outlineLevel="0" collapsed="false">
      <c r="A87" s="4" t="str">
        <f aca="false">IF(TRIM(P6_Export!A87)="","",TRIM(P6_Export!A87))</f>
        <v/>
      </c>
      <c r="B87" s="4" t="str">
        <f aca="false">IF($A87="","",P6_Export!B87)</f>
        <v/>
      </c>
      <c r="C87" s="4" t="str">
        <f aca="false">IF($A87="","",SUBSTITUTE(SUBSTITUTE(TRIM(P6_Export!D87)," ",""),",",";"))</f>
        <v/>
      </c>
      <c r="D87" s="4" t="str">
        <f aca="false">IF($A87="","",IF(P6_Export!$C87=0,"deterministic","triangular"))</f>
        <v/>
      </c>
      <c r="E87" s="4" t="str">
        <f aca="false">IF($A87="","",IF($D87="deterministic",0,ROUND(P6_Export!$C87*說明!$C$22,1)))</f>
        <v/>
      </c>
      <c r="F87" s="4" t="str">
        <f aca="false">IF($A87="","",P6_Export!$C87)</f>
        <v/>
      </c>
      <c r="G87" s="4" t="str">
        <f aca="false">IF($A87="","",IF($D87="deterministic",0,ROUND(P6_Export!$C87*說明!$C$23,1)))</f>
        <v/>
      </c>
    </row>
    <row r="88" customFormat="false" ht="15" hidden="false" customHeight="false" outlineLevel="0" collapsed="false">
      <c r="A88" s="4" t="str">
        <f aca="false">IF(TRIM(P6_Export!A88)="","",TRIM(P6_Export!A88))</f>
        <v/>
      </c>
      <c r="B88" s="4" t="str">
        <f aca="false">IF($A88="","",P6_Export!B88)</f>
        <v/>
      </c>
      <c r="C88" s="4" t="str">
        <f aca="false">IF($A88="","",SUBSTITUTE(SUBSTITUTE(TRIM(P6_Export!D88)," ",""),",",";"))</f>
        <v/>
      </c>
      <c r="D88" s="4" t="str">
        <f aca="false">IF($A88="","",IF(P6_Export!$C88=0,"deterministic","triangular"))</f>
        <v/>
      </c>
      <c r="E88" s="4" t="str">
        <f aca="false">IF($A88="","",IF($D88="deterministic",0,ROUND(P6_Export!$C88*說明!$C$22,1)))</f>
        <v/>
      </c>
      <c r="F88" s="4" t="str">
        <f aca="false">IF($A88="","",P6_Export!$C88)</f>
        <v/>
      </c>
      <c r="G88" s="4" t="str">
        <f aca="false">IF($A88="","",IF($D88="deterministic",0,ROUND(P6_Export!$C88*說明!$C$23,1)))</f>
        <v/>
      </c>
    </row>
    <row r="89" customFormat="false" ht="15" hidden="false" customHeight="false" outlineLevel="0" collapsed="false">
      <c r="A89" s="4" t="str">
        <f aca="false">IF(TRIM(P6_Export!A89)="","",TRIM(P6_Export!A89))</f>
        <v/>
      </c>
      <c r="B89" s="4" t="str">
        <f aca="false">IF($A89="","",P6_Export!B89)</f>
        <v/>
      </c>
      <c r="C89" s="4" t="str">
        <f aca="false">IF($A89="","",SUBSTITUTE(SUBSTITUTE(TRIM(P6_Export!D89)," ",""),",",";"))</f>
        <v/>
      </c>
      <c r="D89" s="4" t="str">
        <f aca="false">IF($A89="","",IF(P6_Export!$C89=0,"deterministic","triangular"))</f>
        <v/>
      </c>
      <c r="E89" s="4" t="str">
        <f aca="false">IF($A89="","",IF($D89="deterministic",0,ROUND(P6_Export!$C89*說明!$C$22,1)))</f>
        <v/>
      </c>
      <c r="F89" s="4" t="str">
        <f aca="false">IF($A89="","",P6_Export!$C89)</f>
        <v/>
      </c>
      <c r="G89" s="4" t="str">
        <f aca="false">IF($A89="","",IF($D89="deterministic",0,ROUND(P6_Export!$C89*說明!$C$23,1)))</f>
        <v/>
      </c>
    </row>
    <row r="90" customFormat="false" ht="15" hidden="false" customHeight="false" outlineLevel="0" collapsed="false">
      <c r="A90" s="4" t="str">
        <f aca="false">IF(TRIM(P6_Export!A90)="","",TRIM(P6_Export!A90))</f>
        <v/>
      </c>
      <c r="B90" s="4" t="str">
        <f aca="false">IF($A90="","",P6_Export!B90)</f>
        <v/>
      </c>
      <c r="C90" s="4" t="str">
        <f aca="false">IF($A90="","",SUBSTITUTE(SUBSTITUTE(TRIM(P6_Export!D90)," ",""),",",";"))</f>
        <v/>
      </c>
      <c r="D90" s="4" t="str">
        <f aca="false">IF($A90="","",IF(P6_Export!$C90=0,"deterministic","triangular"))</f>
        <v/>
      </c>
      <c r="E90" s="4" t="str">
        <f aca="false">IF($A90="","",IF($D90="deterministic",0,ROUND(P6_Export!$C90*說明!$C$22,1)))</f>
        <v/>
      </c>
      <c r="F90" s="4" t="str">
        <f aca="false">IF($A90="","",P6_Export!$C90)</f>
        <v/>
      </c>
      <c r="G90" s="4" t="str">
        <f aca="false">IF($A90="","",IF($D90="deterministic",0,ROUND(P6_Export!$C90*說明!$C$23,1)))</f>
        <v/>
      </c>
    </row>
    <row r="91" customFormat="false" ht="15" hidden="false" customHeight="false" outlineLevel="0" collapsed="false">
      <c r="A91" s="4" t="str">
        <f aca="false">IF(TRIM(P6_Export!A91)="","",TRIM(P6_Export!A91))</f>
        <v/>
      </c>
      <c r="B91" s="4" t="str">
        <f aca="false">IF($A91="","",P6_Export!B91)</f>
        <v/>
      </c>
      <c r="C91" s="4" t="str">
        <f aca="false">IF($A91="","",SUBSTITUTE(SUBSTITUTE(TRIM(P6_Export!D91)," ",""),",",";"))</f>
        <v/>
      </c>
      <c r="D91" s="4" t="str">
        <f aca="false">IF($A91="","",IF(P6_Export!$C91=0,"deterministic","triangular"))</f>
        <v/>
      </c>
      <c r="E91" s="4" t="str">
        <f aca="false">IF($A91="","",IF($D91="deterministic",0,ROUND(P6_Export!$C91*說明!$C$22,1)))</f>
        <v/>
      </c>
      <c r="F91" s="4" t="str">
        <f aca="false">IF($A91="","",P6_Export!$C91)</f>
        <v/>
      </c>
      <c r="G91" s="4" t="str">
        <f aca="false">IF($A91="","",IF($D91="deterministic",0,ROUND(P6_Export!$C91*說明!$C$23,1)))</f>
        <v/>
      </c>
    </row>
    <row r="92" customFormat="false" ht="15" hidden="false" customHeight="false" outlineLevel="0" collapsed="false">
      <c r="A92" s="4" t="str">
        <f aca="false">IF(TRIM(P6_Export!A92)="","",TRIM(P6_Export!A92))</f>
        <v/>
      </c>
      <c r="B92" s="4" t="str">
        <f aca="false">IF($A92="","",P6_Export!B92)</f>
        <v/>
      </c>
      <c r="C92" s="4" t="str">
        <f aca="false">IF($A92="","",SUBSTITUTE(SUBSTITUTE(TRIM(P6_Export!D92)," ",""),",",";"))</f>
        <v/>
      </c>
      <c r="D92" s="4" t="str">
        <f aca="false">IF($A92="","",IF(P6_Export!$C92=0,"deterministic","triangular"))</f>
        <v/>
      </c>
      <c r="E92" s="4" t="str">
        <f aca="false">IF($A92="","",IF($D92="deterministic",0,ROUND(P6_Export!$C92*說明!$C$22,1)))</f>
        <v/>
      </c>
      <c r="F92" s="4" t="str">
        <f aca="false">IF($A92="","",P6_Export!$C92)</f>
        <v/>
      </c>
      <c r="G92" s="4" t="str">
        <f aca="false">IF($A92="","",IF($D92="deterministic",0,ROUND(P6_Export!$C92*說明!$C$23,1)))</f>
        <v/>
      </c>
    </row>
    <row r="93" customFormat="false" ht="15" hidden="false" customHeight="false" outlineLevel="0" collapsed="false">
      <c r="A93" s="4" t="str">
        <f aca="false">IF(TRIM(P6_Export!A93)="","",TRIM(P6_Export!A93))</f>
        <v/>
      </c>
      <c r="B93" s="4" t="str">
        <f aca="false">IF($A93="","",P6_Export!B93)</f>
        <v/>
      </c>
      <c r="C93" s="4" t="str">
        <f aca="false">IF($A93="","",SUBSTITUTE(SUBSTITUTE(TRIM(P6_Export!D93)," ",""),",",";"))</f>
        <v/>
      </c>
      <c r="D93" s="4" t="str">
        <f aca="false">IF($A93="","",IF(P6_Export!$C93=0,"deterministic","triangular"))</f>
        <v/>
      </c>
      <c r="E93" s="4" t="str">
        <f aca="false">IF($A93="","",IF($D93="deterministic",0,ROUND(P6_Export!$C93*說明!$C$22,1)))</f>
        <v/>
      </c>
      <c r="F93" s="4" t="str">
        <f aca="false">IF($A93="","",P6_Export!$C93)</f>
        <v/>
      </c>
      <c r="G93" s="4" t="str">
        <f aca="false">IF($A93="","",IF($D93="deterministic",0,ROUND(P6_Export!$C93*說明!$C$23,1)))</f>
        <v/>
      </c>
    </row>
    <row r="94" customFormat="false" ht="15" hidden="false" customHeight="false" outlineLevel="0" collapsed="false">
      <c r="A94" s="4" t="str">
        <f aca="false">IF(TRIM(P6_Export!A94)="","",TRIM(P6_Export!A94))</f>
        <v/>
      </c>
      <c r="B94" s="4" t="str">
        <f aca="false">IF($A94="","",P6_Export!B94)</f>
        <v/>
      </c>
      <c r="C94" s="4" t="str">
        <f aca="false">IF($A94="","",SUBSTITUTE(SUBSTITUTE(TRIM(P6_Export!D94)," ",""),",",";"))</f>
        <v/>
      </c>
      <c r="D94" s="4" t="str">
        <f aca="false">IF($A94="","",IF(P6_Export!$C94=0,"deterministic","triangular"))</f>
        <v/>
      </c>
      <c r="E94" s="4" t="str">
        <f aca="false">IF($A94="","",IF($D94="deterministic",0,ROUND(P6_Export!$C94*說明!$C$22,1)))</f>
        <v/>
      </c>
      <c r="F94" s="4" t="str">
        <f aca="false">IF($A94="","",P6_Export!$C94)</f>
        <v/>
      </c>
      <c r="G94" s="4" t="str">
        <f aca="false">IF($A94="","",IF($D94="deterministic",0,ROUND(P6_Export!$C94*說明!$C$23,1)))</f>
        <v/>
      </c>
    </row>
    <row r="95" customFormat="false" ht="15" hidden="false" customHeight="false" outlineLevel="0" collapsed="false">
      <c r="A95" s="4" t="str">
        <f aca="false">IF(TRIM(P6_Export!A95)="","",TRIM(P6_Export!A95))</f>
        <v/>
      </c>
      <c r="B95" s="4" t="str">
        <f aca="false">IF($A95="","",P6_Export!B95)</f>
        <v/>
      </c>
      <c r="C95" s="4" t="str">
        <f aca="false">IF($A95="","",SUBSTITUTE(SUBSTITUTE(TRIM(P6_Export!D95)," ",""),",",";"))</f>
        <v/>
      </c>
      <c r="D95" s="4" t="str">
        <f aca="false">IF($A95="","",IF(P6_Export!$C95=0,"deterministic","triangular"))</f>
        <v/>
      </c>
      <c r="E95" s="4" t="str">
        <f aca="false">IF($A95="","",IF($D95="deterministic",0,ROUND(P6_Export!$C95*說明!$C$22,1)))</f>
        <v/>
      </c>
      <c r="F95" s="4" t="str">
        <f aca="false">IF($A95="","",P6_Export!$C95)</f>
        <v/>
      </c>
      <c r="G95" s="4" t="str">
        <f aca="false">IF($A95="","",IF($D95="deterministic",0,ROUND(P6_Export!$C95*說明!$C$23,1)))</f>
        <v/>
      </c>
    </row>
    <row r="96" customFormat="false" ht="15" hidden="false" customHeight="false" outlineLevel="0" collapsed="false">
      <c r="A96" s="4" t="str">
        <f aca="false">IF(TRIM(P6_Export!A96)="","",TRIM(P6_Export!A96))</f>
        <v/>
      </c>
      <c r="B96" s="4" t="str">
        <f aca="false">IF($A96="","",P6_Export!B96)</f>
        <v/>
      </c>
      <c r="C96" s="4" t="str">
        <f aca="false">IF($A96="","",SUBSTITUTE(SUBSTITUTE(TRIM(P6_Export!D96)," ",""),",",";"))</f>
        <v/>
      </c>
      <c r="D96" s="4" t="str">
        <f aca="false">IF($A96="","",IF(P6_Export!$C96=0,"deterministic","triangular"))</f>
        <v/>
      </c>
      <c r="E96" s="4" t="str">
        <f aca="false">IF($A96="","",IF($D96="deterministic",0,ROUND(P6_Export!$C96*說明!$C$22,1)))</f>
        <v/>
      </c>
      <c r="F96" s="4" t="str">
        <f aca="false">IF($A96="","",P6_Export!$C96)</f>
        <v/>
      </c>
      <c r="G96" s="4" t="str">
        <f aca="false">IF($A96="","",IF($D96="deterministic",0,ROUND(P6_Export!$C96*說明!$C$23,1)))</f>
        <v/>
      </c>
    </row>
    <row r="97" customFormat="false" ht="15" hidden="false" customHeight="false" outlineLevel="0" collapsed="false">
      <c r="A97" s="4" t="str">
        <f aca="false">IF(TRIM(P6_Export!A97)="","",TRIM(P6_Export!A97))</f>
        <v/>
      </c>
      <c r="B97" s="4" t="str">
        <f aca="false">IF($A97="","",P6_Export!B97)</f>
        <v/>
      </c>
      <c r="C97" s="4" t="str">
        <f aca="false">IF($A97="","",SUBSTITUTE(SUBSTITUTE(TRIM(P6_Export!D97)," ",""),",",";"))</f>
        <v/>
      </c>
      <c r="D97" s="4" t="str">
        <f aca="false">IF($A97="","",IF(P6_Export!$C97=0,"deterministic","triangular"))</f>
        <v/>
      </c>
      <c r="E97" s="4" t="str">
        <f aca="false">IF($A97="","",IF($D97="deterministic",0,ROUND(P6_Export!$C97*說明!$C$22,1)))</f>
        <v/>
      </c>
      <c r="F97" s="4" t="str">
        <f aca="false">IF($A97="","",P6_Export!$C97)</f>
        <v/>
      </c>
      <c r="G97" s="4" t="str">
        <f aca="false">IF($A97="","",IF($D97="deterministic",0,ROUND(P6_Export!$C97*說明!$C$23,1)))</f>
        <v/>
      </c>
    </row>
    <row r="98" customFormat="false" ht="15" hidden="false" customHeight="false" outlineLevel="0" collapsed="false">
      <c r="A98" s="4" t="str">
        <f aca="false">IF(TRIM(P6_Export!A98)="","",TRIM(P6_Export!A98))</f>
        <v/>
      </c>
      <c r="B98" s="4" t="str">
        <f aca="false">IF($A98="","",P6_Export!B98)</f>
        <v/>
      </c>
      <c r="C98" s="4" t="str">
        <f aca="false">IF($A98="","",SUBSTITUTE(SUBSTITUTE(TRIM(P6_Export!D98)," ",""),",",";"))</f>
        <v/>
      </c>
      <c r="D98" s="4" t="str">
        <f aca="false">IF($A98="","",IF(P6_Export!$C98=0,"deterministic","triangular"))</f>
        <v/>
      </c>
      <c r="E98" s="4" t="str">
        <f aca="false">IF($A98="","",IF($D98="deterministic",0,ROUND(P6_Export!$C98*說明!$C$22,1)))</f>
        <v/>
      </c>
      <c r="F98" s="4" t="str">
        <f aca="false">IF($A98="","",P6_Export!$C98)</f>
        <v/>
      </c>
      <c r="G98" s="4" t="str">
        <f aca="false">IF($A98="","",IF($D98="deterministic",0,ROUND(P6_Export!$C98*說明!$C$23,1)))</f>
        <v/>
      </c>
    </row>
    <row r="99" customFormat="false" ht="15" hidden="false" customHeight="false" outlineLevel="0" collapsed="false">
      <c r="A99" s="4" t="str">
        <f aca="false">IF(TRIM(P6_Export!A99)="","",TRIM(P6_Export!A99))</f>
        <v/>
      </c>
      <c r="B99" s="4" t="str">
        <f aca="false">IF($A99="","",P6_Export!B99)</f>
        <v/>
      </c>
      <c r="C99" s="4" t="str">
        <f aca="false">IF($A99="","",SUBSTITUTE(SUBSTITUTE(TRIM(P6_Export!D99)," ",""),",",";"))</f>
        <v/>
      </c>
      <c r="D99" s="4" t="str">
        <f aca="false">IF($A99="","",IF(P6_Export!$C99=0,"deterministic","triangular"))</f>
        <v/>
      </c>
      <c r="E99" s="4" t="str">
        <f aca="false">IF($A99="","",IF($D99="deterministic",0,ROUND(P6_Export!$C99*說明!$C$22,1)))</f>
        <v/>
      </c>
      <c r="F99" s="4" t="str">
        <f aca="false">IF($A99="","",P6_Export!$C99)</f>
        <v/>
      </c>
      <c r="G99" s="4" t="str">
        <f aca="false">IF($A99="","",IF($D99="deterministic",0,ROUND(P6_Export!$C99*說明!$C$23,1)))</f>
        <v/>
      </c>
    </row>
    <row r="100" customFormat="false" ht="15" hidden="false" customHeight="false" outlineLevel="0" collapsed="false">
      <c r="A100" s="4" t="str">
        <f aca="false">IF(TRIM(P6_Export!A100)="","",TRIM(P6_Export!A100))</f>
        <v/>
      </c>
      <c r="B100" s="4" t="str">
        <f aca="false">IF($A100="","",P6_Export!B100)</f>
        <v/>
      </c>
      <c r="C100" s="4" t="str">
        <f aca="false">IF($A100="","",SUBSTITUTE(SUBSTITUTE(TRIM(P6_Export!D100)," ",""),",",";"))</f>
        <v/>
      </c>
      <c r="D100" s="4" t="str">
        <f aca="false">IF($A100="","",IF(P6_Export!$C100=0,"deterministic","triangular"))</f>
        <v/>
      </c>
      <c r="E100" s="4" t="str">
        <f aca="false">IF($A100="","",IF($D100="deterministic",0,ROUND(P6_Export!$C100*說明!$C$22,1)))</f>
        <v/>
      </c>
      <c r="F100" s="4" t="str">
        <f aca="false">IF($A100="","",P6_Export!$C100)</f>
        <v/>
      </c>
      <c r="G100" s="4" t="str">
        <f aca="false">IF($A100="","",IF($D100="deterministic",0,ROUND(P6_Export!$C100*說明!$C$23,1)))</f>
        <v/>
      </c>
    </row>
    <row r="101" customFormat="false" ht="15" hidden="false" customHeight="false" outlineLevel="0" collapsed="false">
      <c r="A101" s="4" t="str">
        <f aca="false">IF(TRIM(P6_Export!A101)="","",TRIM(P6_Export!A101))</f>
        <v/>
      </c>
      <c r="B101" s="4" t="str">
        <f aca="false">IF($A101="","",P6_Export!B101)</f>
        <v/>
      </c>
      <c r="C101" s="4" t="str">
        <f aca="false">IF($A101="","",SUBSTITUTE(SUBSTITUTE(TRIM(P6_Export!D101)," ",""),",",";"))</f>
        <v/>
      </c>
      <c r="D101" s="4" t="str">
        <f aca="false">IF($A101="","",IF(P6_Export!$C101=0,"deterministic","triangular"))</f>
        <v/>
      </c>
      <c r="E101" s="4" t="str">
        <f aca="false">IF($A101="","",IF($D101="deterministic",0,ROUND(P6_Export!$C101*說明!$C$22,1)))</f>
        <v/>
      </c>
      <c r="F101" s="4" t="str">
        <f aca="false">IF($A101="","",P6_Export!$C101)</f>
        <v/>
      </c>
      <c r="G101" s="4" t="str">
        <f aca="false">IF($A101="","",IF($D101="deterministic",0,ROUND(P6_Export!$C101*說明!$C$23,1)))</f>
        <v/>
      </c>
    </row>
    <row r="102" customFormat="false" ht="15" hidden="false" customHeight="false" outlineLevel="0" collapsed="false">
      <c r="A102" s="4" t="str">
        <f aca="false">IF(TRIM(P6_Export!A102)="","",TRIM(P6_Export!A102))</f>
        <v/>
      </c>
      <c r="B102" s="4" t="str">
        <f aca="false">IF($A102="","",P6_Export!B102)</f>
        <v/>
      </c>
      <c r="C102" s="4" t="str">
        <f aca="false">IF($A102="","",SUBSTITUTE(SUBSTITUTE(TRIM(P6_Export!D102)," ",""),",",";"))</f>
        <v/>
      </c>
      <c r="D102" s="4" t="str">
        <f aca="false">IF($A102="","",IF(P6_Export!$C102=0,"deterministic","triangular"))</f>
        <v/>
      </c>
      <c r="E102" s="4" t="str">
        <f aca="false">IF($A102="","",IF($D102="deterministic",0,ROUND(P6_Export!$C102*說明!$C$22,1)))</f>
        <v/>
      </c>
      <c r="F102" s="4" t="str">
        <f aca="false">IF($A102="","",P6_Export!$C102)</f>
        <v/>
      </c>
      <c r="G102" s="4" t="str">
        <f aca="false">IF($A102="","",IF($D102="deterministic",0,ROUND(P6_Export!$C102*說明!$C$23,1)))</f>
        <v/>
      </c>
    </row>
    <row r="103" customFormat="false" ht="15" hidden="false" customHeight="false" outlineLevel="0" collapsed="false">
      <c r="A103" s="4" t="str">
        <f aca="false">IF(TRIM(P6_Export!A103)="","",TRIM(P6_Export!A103))</f>
        <v/>
      </c>
      <c r="B103" s="4" t="str">
        <f aca="false">IF($A103="","",P6_Export!B103)</f>
        <v/>
      </c>
      <c r="C103" s="4" t="str">
        <f aca="false">IF($A103="","",SUBSTITUTE(SUBSTITUTE(TRIM(P6_Export!D103)," ",""),",",";"))</f>
        <v/>
      </c>
      <c r="D103" s="4" t="str">
        <f aca="false">IF($A103="","",IF(P6_Export!$C103=0,"deterministic","triangular"))</f>
        <v/>
      </c>
      <c r="E103" s="4" t="str">
        <f aca="false">IF($A103="","",IF($D103="deterministic",0,ROUND(P6_Export!$C103*說明!$C$22,1)))</f>
        <v/>
      </c>
      <c r="F103" s="4" t="str">
        <f aca="false">IF($A103="","",P6_Export!$C103)</f>
        <v/>
      </c>
      <c r="G103" s="4" t="str">
        <f aca="false">IF($A103="","",IF($D103="deterministic",0,ROUND(P6_Export!$C103*說明!$C$23,1)))</f>
        <v/>
      </c>
    </row>
    <row r="104" customFormat="false" ht="15" hidden="false" customHeight="false" outlineLevel="0" collapsed="false">
      <c r="A104" s="4" t="str">
        <f aca="false">IF(TRIM(P6_Export!A104)="","",TRIM(P6_Export!A104))</f>
        <v/>
      </c>
      <c r="B104" s="4" t="str">
        <f aca="false">IF($A104="","",P6_Export!B104)</f>
        <v/>
      </c>
      <c r="C104" s="4" t="str">
        <f aca="false">IF($A104="","",SUBSTITUTE(SUBSTITUTE(TRIM(P6_Export!D104)," ",""),",",";"))</f>
        <v/>
      </c>
      <c r="D104" s="4" t="str">
        <f aca="false">IF($A104="","",IF(P6_Export!$C104=0,"deterministic","triangular"))</f>
        <v/>
      </c>
      <c r="E104" s="4" t="str">
        <f aca="false">IF($A104="","",IF($D104="deterministic",0,ROUND(P6_Export!$C104*說明!$C$22,1)))</f>
        <v/>
      </c>
      <c r="F104" s="4" t="str">
        <f aca="false">IF($A104="","",P6_Export!$C104)</f>
        <v/>
      </c>
      <c r="G104" s="4" t="str">
        <f aca="false">IF($A104="","",IF($D104="deterministic",0,ROUND(P6_Export!$C104*說明!$C$23,1)))</f>
        <v/>
      </c>
    </row>
    <row r="105" customFormat="false" ht="15" hidden="false" customHeight="false" outlineLevel="0" collapsed="false">
      <c r="A105" s="4" t="str">
        <f aca="false">IF(TRIM(P6_Export!A105)="","",TRIM(P6_Export!A105))</f>
        <v/>
      </c>
      <c r="B105" s="4" t="str">
        <f aca="false">IF($A105="","",P6_Export!B105)</f>
        <v/>
      </c>
      <c r="C105" s="4" t="str">
        <f aca="false">IF($A105="","",SUBSTITUTE(SUBSTITUTE(TRIM(P6_Export!D105)," ",""),",",";"))</f>
        <v/>
      </c>
      <c r="D105" s="4" t="str">
        <f aca="false">IF($A105="","",IF(P6_Export!$C105=0,"deterministic","triangular"))</f>
        <v/>
      </c>
      <c r="E105" s="4" t="str">
        <f aca="false">IF($A105="","",IF($D105="deterministic",0,ROUND(P6_Export!$C105*說明!$C$22,1)))</f>
        <v/>
      </c>
      <c r="F105" s="4" t="str">
        <f aca="false">IF($A105="","",P6_Export!$C105)</f>
        <v/>
      </c>
      <c r="G105" s="4" t="str">
        <f aca="false">IF($A105="","",IF($D105="deterministic",0,ROUND(P6_Export!$C105*說明!$C$23,1)))</f>
        <v/>
      </c>
    </row>
    <row r="106" customFormat="false" ht="15" hidden="false" customHeight="false" outlineLevel="0" collapsed="false">
      <c r="A106" s="4" t="str">
        <f aca="false">IF(TRIM(P6_Export!A106)="","",TRIM(P6_Export!A106))</f>
        <v/>
      </c>
      <c r="B106" s="4" t="str">
        <f aca="false">IF($A106="","",P6_Export!B106)</f>
        <v/>
      </c>
      <c r="C106" s="4" t="str">
        <f aca="false">IF($A106="","",SUBSTITUTE(SUBSTITUTE(TRIM(P6_Export!D106)," ",""),",",";"))</f>
        <v/>
      </c>
      <c r="D106" s="4" t="str">
        <f aca="false">IF($A106="","",IF(P6_Export!$C106=0,"deterministic","triangular"))</f>
        <v/>
      </c>
      <c r="E106" s="4" t="str">
        <f aca="false">IF($A106="","",IF($D106="deterministic",0,ROUND(P6_Export!$C106*說明!$C$22,1)))</f>
        <v/>
      </c>
      <c r="F106" s="4" t="str">
        <f aca="false">IF($A106="","",P6_Export!$C106)</f>
        <v/>
      </c>
      <c r="G106" s="4" t="str">
        <f aca="false">IF($A106="","",IF($D106="deterministic",0,ROUND(P6_Export!$C106*說明!$C$23,1)))</f>
        <v/>
      </c>
    </row>
    <row r="107" customFormat="false" ht="15" hidden="false" customHeight="false" outlineLevel="0" collapsed="false">
      <c r="A107" s="4" t="str">
        <f aca="false">IF(TRIM(P6_Export!A107)="","",TRIM(P6_Export!A107))</f>
        <v/>
      </c>
      <c r="B107" s="4" t="str">
        <f aca="false">IF($A107="","",P6_Export!B107)</f>
        <v/>
      </c>
      <c r="C107" s="4" t="str">
        <f aca="false">IF($A107="","",SUBSTITUTE(SUBSTITUTE(TRIM(P6_Export!D107)," ",""),",",";"))</f>
        <v/>
      </c>
      <c r="D107" s="4" t="str">
        <f aca="false">IF($A107="","",IF(P6_Export!$C107=0,"deterministic","triangular"))</f>
        <v/>
      </c>
      <c r="E107" s="4" t="str">
        <f aca="false">IF($A107="","",IF($D107="deterministic",0,ROUND(P6_Export!$C107*說明!$C$22,1)))</f>
        <v/>
      </c>
      <c r="F107" s="4" t="str">
        <f aca="false">IF($A107="","",P6_Export!$C107)</f>
        <v/>
      </c>
      <c r="G107" s="4" t="str">
        <f aca="false">IF($A107="","",IF($D107="deterministic",0,ROUND(P6_Export!$C107*說明!$C$23,1)))</f>
        <v/>
      </c>
    </row>
    <row r="108" customFormat="false" ht="15" hidden="false" customHeight="false" outlineLevel="0" collapsed="false">
      <c r="A108" s="4" t="str">
        <f aca="false">IF(TRIM(P6_Export!A108)="","",TRIM(P6_Export!A108))</f>
        <v/>
      </c>
      <c r="B108" s="4" t="str">
        <f aca="false">IF($A108="","",P6_Export!B108)</f>
        <v/>
      </c>
      <c r="C108" s="4" t="str">
        <f aca="false">IF($A108="","",SUBSTITUTE(SUBSTITUTE(TRIM(P6_Export!D108)," ",""),",",";"))</f>
        <v/>
      </c>
      <c r="D108" s="4" t="str">
        <f aca="false">IF($A108="","",IF(P6_Export!$C108=0,"deterministic","triangular"))</f>
        <v/>
      </c>
      <c r="E108" s="4" t="str">
        <f aca="false">IF($A108="","",IF($D108="deterministic",0,ROUND(P6_Export!$C108*說明!$C$22,1)))</f>
        <v/>
      </c>
      <c r="F108" s="4" t="str">
        <f aca="false">IF($A108="","",P6_Export!$C108)</f>
        <v/>
      </c>
      <c r="G108" s="4" t="str">
        <f aca="false">IF($A108="","",IF($D108="deterministic",0,ROUND(P6_Export!$C108*說明!$C$23,1)))</f>
        <v/>
      </c>
    </row>
    <row r="109" customFormat="false" ht="15" hidden="false" customHeight="false" outlineLevel="0" collapsed="false">
      <c r="A109" s="4" t="str">
        <f aca="false">IF(TRIM(P6_Export!A109)="","",TRIM(P6_Export!A109))</f>
        <v/>
      </c>
      <c r="B109" s="4" t="str">
        <f aca="false">IF($A109="","",P6_Export!B109)</f>
        <v/>
      </c>
      <c r="C109" s="4" t="str">
        <f aca="false">IF($A109="","",SUBSTITUTE(SUBSTITUTE(TRIM(P6_Export!D109)," ",""),",",";"))</f>
        <v/>
      </c>
      <c r="D109" s="4" t="str">
        <f aca="false">IF($A109="","",IF(P6_Export!$C109=0,"deterministic","triangular"))</f>
        <v/>
      </c>
      <c r="E109" s="4" t="str">
        <f aca="false">IF($A109="","",IF($D109="deterministic",0,ROUND(P6_Export!$C109*說明!$C$22,1)))</f>
        <v/>
      </c>
      <c r="F109" s="4" t="str">
        <f aca="false">IF($A109="","",P6_Export!$C109)</f>
        <v/>
      </c>
      <c r="G109" s="4" t="str">
        <f aca="false">IF($A109="","",IF($D109="deterministic",0,ROUND(P6_Export!$C109*說明!$C$23,1)))</f>
        <v/>
      </c>
    </row>
    <row r="110" customFormat="false" ht="15" hidden="false" customHeight="false" outlineLevel="0" collapsed="false">
      <c r="A110" s="4" t="str">
        <f aca="false">IF(TRIM(P6_Export!A110)="","",TRIM(P6_Export!A110))</f>
        <v/>
      </c>
      <c r="B110" s="4" t="str">
        <f aca="false">IF($A110="","",P6_Export!B110)</f>
        <v/>
      </c>
      <c r="C110" s="4" t="str">
        <f aca="false">IF($A110="","",SUBSTITUTE(SUBSTITUTE(TRIM(P6_Export!D110)," ",""),",",";"))</f>
        <v/>
      </c>
      <c r="D110" s="4" t="str">
        <f aca="false">IF($A110="","",IF(P6_Export!$C110=0,"deterministic","triangular"))</f>
        <v/>
      </c>
      <c r="E110" s="4" t="str">
        <f aca="false">IF($A110="","",IF($D110="deterministic",0,ROUND(P6_Export!$C110*說明!$C$22,1)))</f>
        <v/>
      </c>
      <c r="F110" s="4" t="str">
        <f aca="false">IF($A110="","",P6_Export!$C110)</f>
        <v/>
      </c>
      <c r="G110" s="4" t="str">
        <f aca="false">IF($A110="","",IF($D110="deterministic",0,ROUND(P6_Export!$C110*說明!$C$23,1)))</f>
        <v/>
      </c>
    </row>
    <row r="111" customFormat="false" ht="15" hidden="false" customHeight="false" outlineLevel="0" collapsed="false">
      <c r="A111" s="4" t="str">
        <f aca="false">IF(TRIM(P6_Export!A111)="","",TRIM(P6_Export!A111))</f>
        <v/>
      </c>
      <c r="B111" s="4" t="str">
        <f aca="false">IF($A111="","",P6_Export!B111)</f>
        <v/>
      </c>
      <c r="C111" s="4" t="str">
        <f aca="false">IF($A111="","",SUBSTITUTE(SUBSTITUTE(TRIM(P6_Export!D111)," ",""),",",";"))</f>
        <v/>
      </c>
      <c r="D111" s="4" t="str">
        <f aca="false">IF($A111="","",IF(P6_Export!$C111=0,"deterministic","triangular"))</f>
        <v/>
      </c>
      <c r="E111" s="4" t="str">
        <f aca="false">IF($A111="","",IF($D111="deterministic",0,ROUND(P6_Export!$C111*說明!$C$22,1)))</f>
        <v/>
      </c>
      <c r="F111" s="4" t="str">
        <f aca="false">IF($A111="","",P6_Export!$C111)</f>
        <v/>
      </c>
      <c r="G111" s="4" t="str">
        <f aca="false">IF($A111="","",IF($D111="deterministic",0,ROUND(P6_Export!$C111*說明!$C$23,1)))</f>
        <v/>
      </c>
    </row>
    <row r="112" customFormat="false" ht="15" hidden="false" customHeight="false" outlineLevel="0" collapsed="false">
      <c r="A112" s="4" t="str">
        <f aca="false">IF(TRIM(P6_Export!A112)="","",TRIM(P6_Export!A112))</f>
        <v/>
      </c>
      <c r="B112" s="4" t="str">
        <f aca="false">IF($A112="","",P6_Export!B112)</f>
        <v/>
      </c>
      <c r="C112" s="4" t="str">
        <f aca="false">IF($A112="","",SUBSTITUTE(SUBSTITUTE(TRIM(P6_Export!D112)," ",""),",",";"))</f>
        <v/>
      </c>
      <c r="D112" s="4" t="str">
        <f aca="false">IF($A112="","",IF(P6_Export!$C112=0,"deterministic","triangular"))</f>
        <v/>
      </c>
      <c r="E112" s="4" t="str">
        <f aca="false">IF($A112="","",IF($D112="deterministic",0,ROUND(P6_Export!$C112*說明!$C$22,1)))</f>
        <v/>
      </c>
      <c r="F112" s="4" t="str">
        <f aca="false">IF($A112="","",P6_Export!$C112)</f>
        <v/>
      </c>
      <c r="G112" s="4" t="str">
        <f aca="false">IF($A112="","",IF($D112="deterministic",0,ROUND(P6_Export!$C112*說明!$C$23,1)))</f>
        <v/>
      </c>
    </row>
    <row r="113" customFormat="false" ht="15" hidden="false" customHeight="false" outlineLevel="0" collapsed="false">
      <c r="A113" s="4" t="str">
        <f aca="false">IF(TRIM(P6_Export!A113)="","",TRIM(P6_Export!A113))</f>
        <v/>
      </c>
      <c r="B113" s="4" t="str">
        <f aca="false">IF($A113="","",P6_Export!B113)</f>
        <v/>
      </c>
      <c r="C113" s="4" t="str">
        <f aca="false">IF($A113="","",SUBSTITUTE(SUBSTITUTE(TRIM(P6_Export!D113)," ",""),",",";"))</f>
        <v/>
      </c>
      <c r="D113" s="4" t="str">
        <f aca="false">IF($A113="","",IF(P6_Export!$C113=0,"deterministic","triangular"))</f>
        <v/>
      </c>
      <c r="E113" s="4" t="str">
        <f aca="false">IF($A113="","",IF($D113="deterministic",0,ROUND(P6_Export!$C113*說明!$C$22,1)))</f>
        <v/>
      </c>
      <c r="F113" s="4" t="str">
        <f aca="false">IF($A113="","",P6_Export!$C113)</f>
        <v/>
      </c>
      <c r="G113" s="4" t="str">
        <f aca="false">IF($A113="","",IF($D113="deterministic",0,ROUND(P6_Export!$C113*說明!$C$23,1)))</f>
        <v/>
      </c>
    </row>
    <row r="114" customFormat="false" ht="15" hidden="false" customHeight="false" outlineLevel="0" collapsed="false">
      <c r="A114" s="4" t="str">
        <f aca="false">IF(TRIM(P6_Export!A114)="","",TRIM(P6_Export!A114))</f>
        <v/>
      </c>
      <c r="B114" s="4" t="str">
        <f aca="false">IF($A114="","",P6_Export!B114)</f>
        <v/>
      </c>
      <c r="C114" s="4" t="str">
        <f aca="false">IF($A114="","",SUBSTITUTE(SUBSTITUTE(TRIM(P6_Export!D114)," ",""),",",";"))</f>
        <v/>
      </c>
      <c r="D114" s="4" t="str">
        <f aca="false">IF($A114="","",IF(P6_Export!$C114=0,"deterministic","triangular"))</f>
        <v/>
      </c>
      <c r="E114" s="4" t="str">
        <f aca="false">IF($A114="","",IF($D114="deterministic",0,ROUND(P6_Export!$C114*說明!$C$22,1)))</f>
        <v/>
      </c>
      <c r="F114" s="4" t="str">
        <f aca="false">IF($A114="","",P6_Export!$C114)</f>
        <v/>
      </c>
      <c r="G114" s="4" t="str">
        <f aca="false">IF($A114="","",IF($D114="deterministic",0,ROUND(P6_Export!$C114*說明!$C$23,1)))</f>
        <v/>
      </c>
    </row>
    <row r="115" customFormat="false" ht="15" hidden="false" customHeight="false" outlineLevel="0" collapsed="false">
      <c r="A115" s="4" t="str">
        <f aca="false">IF(TRIM(P6_Export!A115)="","",TRIM(P6_Export!A115))</f>
        <v/>
      </c>
      <c r="B115" s="4" t="str">
        <f aca="false">IF($A115="","",P6_Export!B115)</f>
        <v/>
      </c>
      <c r="C115" s="4" t="str">
        <f aca="false">IF($A115="","",SUBSTITUTE(SUBSTITUTE(TRIM(P6_Export!D115)," ",""),",",";"))</f>
        <v/>
      </c>
      <c r="D115" s="4" t="str">
        <f aca="false">IF($A115="","",IF(P6_Export!$C115=0,"deterministic","triangular"))</f>
        <v/>
      </c>
      <c r="E115" s="4" t="str">
        <f aca="false">IF($A115="","",IF($D115="deterministic",0,ROUND(P6_Export!$C115*說明!$C$22,1)))</f>
        <v/>
      </c>
      <c r="F115" s="4" t="str">
        <f aca="false">IF($A115="","",P6_Export!$C115)</f>
        <v/>
      </c>
      <c r="G115" s="4" t="str">
        <f aca="false">IF($A115="","",IF($D115="deterministic",0,ROUND(P6_Export!$C115*說明!$C$23,1)))</f>
        <v/>
      </c>
    </row>
    <row r="116" customFormat="false" ht="15" hidden="false" customHeight="false" outlineLevel="0" collapsed="false">
      <c r="A116" s="4" t="str">
        <f aca="false">IF(TRIM(P6_Export!A116)="","",TRIM(P6_Export!A116))</f>
        <v/>
      </c>
      <c r="B116" s="4" t="str">
        <f aca="false">IF($A116="","",P6_Export!B116)</f>
        <v/>
      </c>
      <c r="C116" s="4" t="str">
        <f aca="false">IF($A116="","",SUBSTITUTE(SUBSTITUTE(TRIM(P6_Export!D116)," ",""),",",";"))</f>
        <v/>
      </c>
      <c r="D116" s="4" t="str">
        <f aca="false">IF($A116="","",IF(P6_Export!$C116=0,"deterministic","triangular"))</f>
        <v/>
      </c>
      <c r="E116" s="4" t="str">
        <f aca="false">IF($A116="","",IF($D116="deterministic",0,ROUND(P6_Export!$C116*說明!$C$22,1)))</f>
        <v/>
      </c>
      <c r="F116" s="4" t="str">
        <f aca="false">IF($A116="","",P6_Export!$C116)</f>
        <v/>
      </c>
      <c r="G116" s="4" t="str">
        <f aca="false">IF($A116="","",IF($D116="deterministic",0,ROUND(P6_Export!$C116*說明!$C$23,1)))</f>
        <v/>
      </c>
    </row>
    <row r="117" customFormat="false" ht="15" hidden="false" customHeight="false" outlineLevel="0" collapsed="false">
      <c r="A117" s="4" t="str">
        <f aca="false">IF(TRIM(P6_Export!A117)="","",TRIM(P6_Export!A117))</f>
        <v/>
      </c>
      <c r="B117" s="4" t="str">
        <f aca="false">IF($A117="","",P6_Export!B117)</f>
        <v/>
      </c>
      <c r="C117" s="4" t="str">
        <f aca="false">IF($A117="","",SUBSTITUTE(SUBSTITUTE(TRIM(P6_Export!D117)," ",""),",",";"))</f>
        <v/>
      </c>
      <c r="D117" s="4" t="str">
        <f aca="false">IF($A117="","",IF(P6_Export!$C117=0,"deterministic","triangular"))</f>
        <v/>
      </c>
      <c r="E117" s="4" t="str">
        <f aca="false">IF($A117="","",IF($D117="deterministic",0,ROUND(P6_Export!$C117*說明!$C$22,1)))</f>
        <v/>
      </c>
      <c r="F117" s="4" t="str">
        <f aca="false">IF($A117="","",P6_Export!$C117)</f>
        <v/>
      </c>
      <c r="G117" s="4" t="str">
        <f aca="false">IF($A117="","",IF($D117="deterministic",0,ROUND(P6_Export!$C117*說明!$C$23,1)))</f>
        <v/>
      </c>
    </row>
    <row r="118" customFormat="false" ht="15" hidden="false" customHeight="false" outlineLevel="0" collapsed="false">
      <c r="A118" s="4" t="str">
        <f aca="false">IF(TRIM(P6_Export!A118)="","",TRIM(P6_Export!A118))</f>
        <v/>
      </c>
      <c r="B118" s="4" t="str">
        <f aca="false">IF($A118="","",P6_Export!B118)</f>
        <v/>
      </c>
      <c r="C118" s="4" t="str">
        <f aca="false">IF($A118="","",SUBSTITUTE(SUBSTITUTE(TRIM(P6_Export!D118)," ",""),",",";"))</f>
        <v/>
      </c>
      <c r="D118" s="4" t="str">
        <f aca="false">IF($A118="","",IF(P6_Export!$C118=0,"deterministic","triangular"))</f>
        <v/>
      </c>
      <c r="E118" s="4" t="str">
        <f aca="false">IF($A118="","",IF($D118="deterministic",0,ROUND(P6_Export!$C118*說明!$C$22,1)))</f>
        <v/>
      </c>
      <c r="F118" s="4" t="str">
        <f aca="false">IF($A118="","",P6_Export!$C118)</f>
        <v/>
      </c>
      <c r="G118" s="4" t="str">
        <f aca="false">IF($A118="","",IF($D118="deterministic",0,ROUND(P6_Export!$C118*說明!$C$23,1)))</f>
        <v/>
      </c>
    </row>
    <row r="119" customFormat="false" ht="15" hidden="false" customHeight="false" outlineLevel="0" collapsed="false">
      <c r="A119" s="4" t="str">
        <f aca="false">IF(TRIM(P6_Export!A119)="","",TRIM(P6_Export!A119))</f>
        <v/>
      </c>
      <c r="B119" s="4" t="str">
        <f aca="false">IF($A119="","",P6_Export!B119)</f>
        <v/>
      </c>
      <c r="C119" s="4" t="str">
        <f aca="false">IF($A119="","",SUBSTITUTE(SUBSTITUTE(TRIM(P6_Export!D119)," ",""),",",";"))</f>
        <v/>
      </c>
      <c r="D119" s="4" t="str">
        <f aca="false">IF($A119="","",IF(P6_Export!$C119=0,"deterministic","triangular"))</f>
        <v/>
      </c>
      <c r="E119" s="4" t="str">
        <f aca="false">IF($A119="","",IF($D119="deterministic",0,ROUND(P6_Export!$C119*說明!$C$22,1)))</f>
        <v/>
      </c>
      <c r="F119" s="4" t="str">
        <f aca="false">IF($A119="","",P6_Export!$C119)</f>
        <v/>
      </c>
      <c r="G119" s="4" t="str">
        <f aca="false">IF($A119="","",IF($D119="deterministic",0,ROUND(P6_Export!$C119*說明!$C$23,1)))</f>
        <v/>
      </c>
    </row>
    <row r="120" customFormat="false" ht="15" hidden="false" customHeight="false" outlineLevel="0" collapsed="false">
      <c r="A120" s="4" t="str">
        <f aca="false">IF(TRIM(P6_Export!A120)="","",TRIM(P6_Export!A120))</f>
        <v/>
      </c>
      <c r="B120" s="4" t="str">
        <f aca="false">IF($A120="","",P6_Export!B120)</f>
        <v/>
      </c>
      <c r="C120" s="4" t="str">
        <f aca="false">IF($A120="","",SUBSTITUTE(SUBSTITUTE(TRIM(P6_Export!D120)," ",""),",",";"))</f>
        <v/>
      </c>
      <c r="D120" s="4" t="str">
        <f aca="false">IF($A120="","",IF(P6_Export!$C120=0,"deterministic","triangular"))</f>
        <v/>
      </c>
      <c r="E120" s="4" t="str">
        <f aca="false">IF($A120="","",IF($D120="deterministic",0,ROUND(P6_Export!$C120*說明!$C$22,1)))</f>
        <v/>
      </c>
      <c r="F120" s="4" t="str">
        <f aca="false">IF($A120="","",P6_Export!$C120)</f>
        <v/>
      </c>
      <c r="G120" s="4" t="str">
        <f aca="false">IF($A120="","",IF($D120="deterministic",0,ROUND(P6_Export!$C120*說明!$C$23,1)))</f>
        <v/>
      </c>
    </row>
    <row r="121" customFormat="false" ht="15" hidden="false" customHeight="false" outlineLevel="0" collapsed="false">
      <c r="A121" s="4" t="str">
        <f aca="false">IF(TRIM(P6_Export!A121)="","",TRIM(P6_Export!A121))</f>
        <v/>
      </c>
      <c r="B121" s="4" t="str">
        <f aca="false">IF($A121="","",P6_Export!B121)</f>
        <v/>
      </c>
      <c r="C121" s="4" t="str">
        <f aca="false">IF($A121="","",SUBSTITUTE(SUBSTITUTE(TRIM(P6_Export!D121)," ",""),",",";"))</f>
        <v/>
      </c>
      <c r="D121" s="4" t="str">
        <f aca="false">IF($A121="","",IF(P6_Export!$C121=0,"deterministic","triangular"))</f>
        <v/>
      </c>
      <c r="E121" s="4" t="str">
        <f aca="false">IF($A121="","",IF($D121="deterministic",0,ROUND(P6_Export!$C121*說明!$C$22,1)))</f>
        <v/>
      </c>
      <c r="F121" s="4" t="str">
        <f aca="false">IF($A121="","",P6_Export!$C121)</f>
        <v/>
      </c>
      <c r="G121" s="4" t="str">
        <f aca="false">IF($A121="","",IF($D121="deterministic",0,ROUND(P6_Export!$C121*說明!$C$23,1)))</f>
        <v/>
      </c>
    </row>
    <row r="122" customFormat="false" ht="15" hidden="false" customHeight="false" outlineLevel="0" collapsed="false">
      <c r="A122" s="4" t="str">
        <f aca="false">IF(TRIM(P6_Export!A122)="","",TRIM(P6_Export!A122))</f>
        <v/>
      </c>
      <c r="B122" s="4" t="str">
        <f aca="false">IF($A122="","",P6_Export!B122)</f>
        <v/>
      </c>
      <c r="C122" s="4" t="str">
        <f aca="false">IF($A122="","",SUBSTITUTE(SUBSTITUTE(TRIM(P6_Export!D122)," ",""),",",";"))</f>
        <v/>
      </c>
      <c r="D122" s="4" t="str">
        <f aca="false">IF($A122="","",IF(P6_Export!$C122=0,"deterministic","triangular"))</f>
        <v/>
      </c>
      <c r="E122" s="4" t="str">
        <f aca="false">IF($A122="","",IF($D122="deterministic",0,ROUND(P6_Export!$C122*說明!$C$22,1)))</f>
        <v/>
      </c>
      <c r="F122" s="4" t="str">
        <f aca="false">IF($A122="","",P6_Export!$C122)</f>
        <v/>
      </c>
      <c r="G122" s="4" t="str">
        <f aca="false">IF($A122="","",IF($D122="deterministic",0,ROUND(P6_Export!$C122*說明!$C$23,1)))</f>
        <v/>
      </c>
    </row>
    <row r="123" customFormat="false" ht="15" hidden="false" customHeight="false" outlineLevel="0" collapsed="false">
      <c r="A123" s="4" t="str">
        <f aca="false">IF(TRIM(P6_Export!A123)="","",TRIM(P6_Export!A123))</f>
        <v/>
      </c>
      <c r="B123" s="4" t="str">
        <f aca="false">IF($A123="","",P6_Export!B123)</f>
        <v/>
      </c>
      <c r="C123" s="4" t="str">
        <f aca="false">IF($A123="","",SUBSTITUTE(SUBSTITUTE(TRIM(P6_Export!D123)," ",""),",",";"))</f>
        <v/>
      </c>
      <c r="D123" s="4" t="str">
        <f aca="false">IF($A123="","",IF(P6_Export!$C123=0,"deterministic","triangular"))</f>
        <v/>
      </c>
      <c r="E123" s="4" t="str">
        <f aca="false">IF($A123="","",IF($D123="deterministic",0,ROUND(P6_Export!$C123*說明!$C$22,1)))</f>
        <v/>
      </c>
      <c r="F123" s="4" t="str">
        <f aca="false">IF($A123="","",P6_Export!$C123)</f>
        <v/>
      </c>
      <c r="G123" s="4" t="str">
        <f aca="false">IF($A123="","",IF($D123="deterministic",0,ROUND(P6_Export!$C123*說明!$C$23,1)))</f>
        <v/>
      </c>
    </row>
    <row r="124" customFormat="false" ht="15" hidden="false" customHeight="false" outlineLevel="0" collapsed="false">
      <c r="A124" s="4" t="str">
        <f aca="false">IF(TRIM(P6_Export!A124)="","",TRIM(P6_Export!A124))</f>
        <v/>
      </c>
      <c r="B124" s="4" t="str">
        <f aca="false">IF($A124="","",P6_Export!B124)</f>
        <v/>
      </c>
      <c r="C124" s="4" t="str">
        <f aca="false">IF($A124="","",SUBSTITUTE(SUBSTITUTE(TRIM(P6_Export!D124)," ",""),",",";"))</f>
        <v/>
      </c>
      <c r="D124" s="4" t="str">
        <f aca="false">IF($A124="","",IF(P6_Export!$C124=0,"deterministic","triangular"))</f>
        <v/>
      </c>
      <c r="E124" s="4" t="str">
        <f aca="false">IF($A124="","",IF($D124="deterministic",0,ROUND(P6_Export!$C124*說明!$C$22,1)))</f>
        <v/>
      </c>
      <c r="F124" s="4" t="str">
        <f aca="false">IF($A124="","",P6_Export!$C124)</f>
        <v/>
      </c>
      <c r="G124" s="4" t="str">
        <f aca="false">IF($A124="","",IF($D124="deterministic",0,ROUND(P6_Export!$C124*說明!$C$23,1)))</f>
        <v/>
      </c>
    </row>
    <row r="125" customFormat="false" ht="15" hidden="false" customHeight="false" outlineLevel="0" collapsed="false">
      <c r="A125" s="4" t="str">
        <f aca="false">IF(TRIM(P6_Export!A125)="","",TRIM(P6_Export!A125))</f>
        <v/>
      </c>
      <c r="B125" s="4" t="str">
        <f aca="false">IF($A125="","",P6_Export!B125)</f>
        <v/>
      </c>
      <c r="C125" s="4" t="str">
        <f aca="false">IF($A125="","",SUBSTITUTE(SUBSTITUTE(TRIM(P6_Export!D125)," ",""),",",";"))</f>
        <v/>
      </c>
      <c r="D125" s="4" t="str">
        <f aca="false">IF($A125="","",IF(P6_Export!$C125=0,"deterministic","triangular"))</f>
        <v/>
      </c>
      <c r="E125" s="4" t="str">
        <f aca="false">IF($A125="","",IF($D125="deterministic",0,ROUND(P6_Export!$C125*說明!$C$22,1)))</f>
        <v/>
      </c>
      <c r="F125" s="4" t="str">
        <f aca="false">IF($A125="","",P6_Export!$C125)</f>
        <v/>
      </c>
      <c r="G125" s="4" t="str">
        <f aca="false">IF($A125="","",IF($D125="deterministic",0,ROUND(P6_Export!$C125*說明!$C$23,1)))</f>
        <v/>
      </c>
    </row>
    <row r="126" customFormat="false" ht="15" hidden="false" customHeight="false" outlineLevel="0" collapsed="false">
      <c r="A126" s="4" t="str">
        <f aca="false">IF(TRIM(P6_Export!A126)="","",TRIM(P6_Export!A126))</f>
        <v/>
      </c>
      <c r="B126" s="4" t="str">
        <f aca="false">IF($A126="","",P6_Export!B126)</f>
        <v/>
      </c>
      <c r="C126" s="4" t="str">
        <f aca="false">IF($A126="","",SUBSTITUTE(SUBSTITUTE(TRIM(P6_Export!D126)," ",""),",",";"))</f>
        <v/>
      </c>
      <c r="D126" s="4" t="str">
        <f aca="false">IF($A126="","",IF(P6_Export!$C126=0,"deterministic","triangular"))</f>
        <v/>
      </c>
      <c r="E126" s="4" t="str">
        <f aca="false">IF($A126="","",IF($D126="deterministic",0,ROUND(P6_Export!$C126*說明!$C$22,1)))</f>
        <v/>
      </c>
      <c r="F126" s="4" t="str">
        <f aca="false">IF($A126="","",P6_Export!$C126)</f>
        <v/>
      </c>
      <c r="G126" s="4" t="str">
        <f aca="false">IF($A126="","",IF($D126="deterministic",0,ROUND(P6_Export!$C126*說明!$C$23,1)))</f>
        <v/>
      </c>
    </row>
    <row r="127" customFormat="false" ht="15" hidden="false" customHeight="false" outlineLevel="0" collapsed="false">
      <c r="A127" s="4" t="str">
        <f aca="false">IF(TRIM(P6_Export!A127)="","",TRIM(P6_Export!A127))</f>
        <v/>
      </c>
      <c r="B127" s="4" t="str">
        <f aca="false">IF($A127="","",P6_Export!B127)</f>
        <v/>
      </c>
      <c r="C127" s="4" t="str">
        <f aca="false">IF($A127="","",SUBSTITUTE(SUBSTITUTE(TRIM(P6_Export!D127)," ",""),",",";"))</f>
        <v/>
      </c>
      <c r="D127" s="4" t="str">
        <f aca="false">IF($A127="","",IF(P6_Export!$C127=0,"deterministic","triangular"))</f>
        <v/>
      </c>
      <c r="E127" s="4" t="str">
        <f aca="false">IF($A127="","",IF($D127="deterministic",0,ROUND(P6_Export!$C127*說明!$C$22,1)))</f>
        <v/>
      </c>
      <c r="F127" s="4" t="str">
        <f aca="false">IF($A127="","",P6_Export!$C127)</f>
        <v/>
      </c>
      <c r="G127" s="4" t="str">
        <f aca="false">IF($A127="","",IF($D127="deterministic",0,ROUND(P6_Export!$C127*說明!$C$23,1)))</f>
        <v/>
      </c>
    </row>
    <row r="128" customFormat="false" ht="15" hidden="false" customHeight="false" outlineLevel="0" collapsed="false">
      <c r="A128" s="4" t="str">
        <f aca="false">IF(TRIM(P6_Export!A128)="","",TRIM(P6_Export!A128))</f>
        <v/>
      </c>
      <c r="B128" s="4" t="str">
        <f aca="false">IF($A128="","",P6_Export!B128)</f>
        <v/>
      </c>
      <c r="C128" s="4" t="str">
        <f aca="false">IF($A128="","",SUBSTITUTE(SUBSTITUTE(TRIM(P6_Export!D128)," ",""),",",";"))</f>
        <v/>
      </c>
      <c r="D128" s="4" t="str">
        <f aca="false">IF($A128="","",IF(P6_Export!$C128=0,"deterministic","triangular"))</f>
        <v/>
      </c>
      <c r="E128" s="4" t="str">
        <f aca="false">IF($A128="","",IF($D128="deterministic",0,ROUND(P6_Export!$C128*說明!$C$22,1)))</f>
        <v/>
      </c>
      <c r="F128" s="4" t="str">
        <f aca="false">IF($A128="","",P6_Export!$C128)</f>
        <v/>
      </c>
      <c r="G128" s="4" t="str">
        <f aca="false">IF($A128="","",IF($D128="deterministic",0,ROUND(P6_Export!$C128*說明!$C$23,1)))</f>
        <v/>
      </c>
    </row>
    <row r="129" customFormat="false" ht="15" hidden="false" customHeight="false" outlineLevel="0" collapsed="false">
      <c r="A129" s="4" t="str">
        <f aca="false">IF(TRIM(P6_Export!A129)="","",TRIM(P6_Export!A129))</f>
        <v/>
      </c>
      <c r="B129" s="4" t="str">
        <f aca="false">IF($A129="","",P6_Export!B129)</f>
        <v/>
      </c>
      <c r="C129" s="4" t="str">
        <f aca="false">IF($A129="","",SUBSTITUTE(SUBSTITUTE(TRIM(P6_Export!D129)," ",""),",",";"))</f>
        <v/>
      </c>
      <c r="D129" s="4" t="str">
        <f aca="false">IF($A129="","",IF(P6_Export!$C129=0,"deterministic","triangular"))</f>
        <v/>
      </c>
      <c r="E129" s="4" t="str">
        <f aca="false">IF($A129="","",IF($D129="deterministic",0,ROUND(P6_Export!$C129*說明!$C$22,1)))</f>
        <v/>
      </c>
      <c r="F129" s="4" t="str">
        <f aca="false">IF($A129="","",P6_Export!$C129)</f>
        <v/>
      </c>
      <c r="G129" s="4" t="str">
        <f aca="false">IF($A129="","",IF($D129="deterministic",0,ROUND(P6_Export!$C129*說明!$C$23,1)))</f>
        <v/>
      </c>
    </row>
    <row r="130" customFormat="false" ht="15" hidden="false" customHeight="false" outlineLevel="0" collapsed="false">
      <c r="A130" s="4" t="str">
        <f aca="false">IF(TRIM(P6_Export!A130)="","",TRIM(P6_Export!A130))</f>
        <v/>
      </c>
      <c r="B130" s="4" t="str">
        <f aca="false">IF($A130="","",P6_Export!B130)</f>
        <v/>
      </c>
      <c r="C130" s="4" t="str">
        <f aca="false">IF($A130="","",SUBSTITUTE(SUBSTITUTE(TRIM(P6_Export!D130)," ",""),",",";"))</f>
        <v/>
      </c>
      <c r="D130" s="4" t="str">
        <f aca="false">IF($A130="","",IF(P6_Export!$C130=0,"deterministic","triangular"))</f>
        <v/>
      </c>
      <c r="E130" s="4" t="str">
        <f aca="false">IF($A130="","",IF($D130="deterministic",0,ROUND(P6_Export!$C130*說明!$C$22,1)))</f>
        <v/>
      </c>
      <c r="F130" s="4" t="str">
        <f aca="false">IF($A130="","",P6_Export!$C130)</f>
        <v/>
      </c>
      <c r="G130" s="4" t="str">
        <f aca="false">IF($A130="","",IF($D130="deterministic",0,ROUND(P6_Export!$C130*說明!$C$23,1)))</f>
        <v/>
      </c>
    </row>
    <row r="131" customFormat="false" ht="15" hidden="false" customHeight="false" outlineLevel="0" collapsed="false">
      <c r="A131" s="4" t="str">
        <f aca="false">IF(TRIM(P6_Export!A131)="","",TRIM(P6_Export!A131))</f>
        <v/>
      </c>
      <c r="B131" s="4" t="str">
        <f aca="false">IF($A131="","",P6_Export!B131)</f>
        <v/>
      </c>
      <c r="C131" s="4" t="str">
        <f aca="false">IF($A131="","",SUBSTITUTE(SUBSTITUTE(TRIM(P6_Export!D131)," ",""),",",";"))</f>
        <v/>
      </c>
      <c r="D131" s="4" t="str">
        <f aca="false">IF($A131="","",IF(P6_Export!$C131=0,"deterministic","triangular"))</f>
        <v/>
      </c>
      <c r="E131" s="4" t="str">
        <f aca="false">IF($A131="","",IF($D131="deterministic",0,ROUND(P6_Export!$C131*說明!$C$22,1)))</f>
        <v/>
      </c>
      <c r="F131" s="4" t="str">
        <f aca="false">IF($A131="","",P6_Export!$C131)</f>
        <v/>
      </c>
      <c r="G131" s="4" t="str">
        <f aca="false">IF($A131="","",IF($D131="deterministic",0,ROUND(P6_Export!$C131*說明!$C$23,1)))</f>
        <v/>
      </c>
    </row>
    <row r="132" customFormat="false" ht="15" hidden="false" customHeight="false" outlineLevel="0" collapsed="false">
      <c r="A132" s="4" t="str">
        <f aca="false">IF(TRIM(P6_Export!A132)="","",TRIM(P6_Export!A132))</f>
        <v/>
      </c>
      <c r="B132" s="4" t="str">
        <f aca="false">IF($A132="","",P6_Export!B132)</f>
        <v/>
      </c>
      <c r="C132" s="4" t="str">
        <f aca="false">IF($A132="","",SUBSTITUTE(SUBSTITUTE(TRIM(P6_Export!D132)," ",""),",",";"))</f>
        <v/>
      </c>
      <c r="D132" s="4" t="str">
        <f aca="false">IF($A132="","",IF(P6_Export!$C132=0,"deterministic","triangular"))</f>
        <v/>
      </c>
      <c r="E132" s="4" t="str">
        <f aca="false">IF($A132="","",IF($D132="deterministic",0,ROUND(P6_Export!$C132*說明!$C$22,1)))</f>
        <v/>
      </c>
      <c r="F132" s="4" t="str">
        <f aca="false">IF($A132="","",P6_Export!$C132)</f>
        <v/>
      </c>
      <c r="G132" s="4" t="str">
        <f aca="false">IF($A132="","",IF($D132="deterministic",0,ROUND(P6_Export!$C132*說明!$C$23,1)))</f>
        <v/>
      </c>
    </row>
    <row r="133" customFormat="false" ht="15" hidden="false" customHeight="false" outlineLevel="0" collapsed="false">
      <c r="A133" s="4" t="str">
        <f aca="false">IF(TRIM(P6_Export!A133)="","",TRIM(P6_Export!A133))</f>
        <v/>
      </c>
      <c r="B133" s="4" t="str">
        <f aca="false">IF($A133="","",P6_Export!B133)</f>
        <v/>
      </c>
      <c r="C133" s="4" t="str">
        <f aca="false">IF($A133="","",SUBSTITUTE(SUBSTITUTE(TRIM(P6_Export!D133)," ",""),",",";"))</f>
        <v/>
      </c>
      <c r="D133" s="4" t="str">
        <f aca="false">IF($A133="","",IF(P6_Export!$C133=0,"deterministic","triangular"))</f>
        <v/>
      </c>
      <c r="E133" s="4" t="str">
        <f aca="false">IF($A133="","",IF($D133="deterministic",0,ROUND(P6_Export!$C133*說明!$C$22,1)))</f>
        <v/>
      </c>
      <c r="F133" s="4" t="str">
        <f aca="false">IF($A133="","",P6_Export!$C133)</f>
        <v/>
      </c>
      <c r="G133" s="4" t="str">
        <f aca="false">IF($A133="","",IF($D133="deterministic",0,ROUND(P6_Export!$C133*說明!$C$23,1)))</f>
        <v/>
      </c>
    </row>
    <row r="134" customFormat="false" ht="15" hidden="false" customHeight="false" outlineLevel="0" collapsed="false">
      <c r="A134" s="4" t="str">
        <f aca="false">IF(TRIM(P6_Export!A134)="","",TRIM(P6_Export!A134))</f>
        <v/>
      </c>
      <c r="B134" s="4" t="str">
        <f aca="false">IF($A134="","",P6_Export!B134)</f>
        <v/>
      </c>
      <c r="C134" s="4" t="str">
        <f aca="false">IF($A134="","",SUBSTITUTE(SUBSTITUTE(TRIM(P6_Export!D134)," ",""),",",";"))</f>
        <v/>
      </c>
      <c r="D134" s="4" t="str">
        <f aca="false">IF($A134="","",IF(P6_Export!$C134=0,"deterministic","triangular"))</f>
        <v/>
      </c>
      <c r="E134" s="4" t="str">
        <f aca="false">IF($A134="","",IF($D134="deterministic",0,ROUND(P6_Export!$C134*說明!$C$22,1)))</f>
        <v/>
      </c>
      <c r="F134" s="4" t="str">
        <f aca="false">IF($A134="","",P6_Export!$C134)</f>
        <v/>
      </c>
      <c r="G134" s="4" t="str">
        <f aca="false">IF($A134="","",IF($D134="deterministic",0,ROUND(P6_Export!$C134*說明!$C$23,1)))</f>
        <v/>
      </c>
    </row>
    <row r="135" customFormat="false" ht="15" hidden="false" customHeight="false" outlineLevel="0" collapsed="false">
      <c r="A135" s="4" t="str">
        <f aca="false">IF(TRIM(P6_Export!A135)="","",TRIM(P6_Export!A135))</f>
        <v/>
      </c>
      <c r="B135" s="4" t="str">
        <f aca="false">IF($A135="","",P6_Export!B135)</f>
        <v/>
      </c>
      <c r="C135" s="4" t="str">
        <f aca="false">IF($A135="","",SUBSTITUTE(SUBSTITUTE(TRIM(P6_Export!D135)," ",""),",",";"))</f>
        <v/>
      </c>
      <c r="D135" s="4" t="str">
        <f aca="false">IF($A135="","",IF(P6_Export!$C135=0,"deterministic","triangular"))</f>
        <v/>
      </c>
      <c r="E135" s="4" t="str">
        <f aca="false">IF($A135="","",IF($D135="deterministic",0,ROUND(P6_Export!$C135*說明!$C$22,1)))</f>
        <v/>
      </c>
      <c r="F135" s="4" t="str">
        <f aca="false">IF($A135="","",P6_Export!$C135)</f>
        <v/>
      </c>
      <c r="G135" s="4" t="str">
        <f aca="false">IF($A135="","",IF($D135="deterministic",0,ROUND(P6_Export!$C135*說明!$C$23,1)))</f>
        <v/>
      </c>
    </row>
    <row r="136" customFormat="false" ht="15" hidden="false" customHeight="false" outlineLevel="0" collapsed="false">
      <c r="A136" s="4" t="str">
        <f aca="false">IF(TRIM(P6_Export!A136)="","",TRIM(P6_Export!A136))</f>
        <v/>
      </c>
      <c r="B136" s="4" t="str">
        <f aca="false">IF($A136="","",P6_Export!B136)</f>
        <v/>
      </c>
      <c r="C136" s="4" t="str">
        <f aca="false">IF($A136="","",SUBSTITUTE(SUBSTITUTE(TRIM(P6_Export!D136)," ",""),",",";"))</f>
        <v/>
      </c>
      <c r="D136" s="4" t="str">
        <f aca="false">IF($A136="","",IF(P6_Export!$C136=0,"deterministic","triangular"))</f>
        <v/>
      </c>
      <c r="E136" s="4" t="str">
        <f aca="false">IF($A136="","",IF($D136="deterministic",0,ROUND(P6_Export!$C136*說明!$C$22,1)))</f>
        <v/>
      </c>
      <c r="F136" s="4" t="str">
        <f aca="false">IF($A136="","",P6_Export!$C136)</f>
        <v/>
      </c>
      <c r="G136" s="4" t="str">
        <f aca="false">IF($A136="","",IF($D136="deterministic",0,ROUND(P6_Export!$C136*說明!$C$23,1)))</f>
        <v/>
      </c>
    </row>
    <row r="137" customFormat="false" ht="15" hidden="false" customHeight="false" outlineLevel="0" collapsed="false">
      <c r="A137" s="4" t="str">
        <f aca="false">IF(TRIM(P6_Export!A137)="","",TRIM(P6_Export!A137))</f>
        <v/>
      </c>
      <c r="B137" s="4" t="str">
        <f aca="false">IF($A137="","",P6_Export!B137)</f>
        <v/>
      </c>
      <c r="C137" s="4" t="str">
        <f aca="false">IF($A137="","",SUBSTITUTE(SUBSTITUTE(TRIM(P6_Export!D137)," ",""),",",";"))</f>
        <v/>
      </c>
      <c r="D137" s="4" t="str">
        <f aca="false">IF($A137="","",IF(P6_Export!$C137=0,"deterministic","triangular"))</f>
        <v/>
      </c>
      <c r="E137" s="4" t="str">
        <f aca="false">IF($A137="","",IF($D137="deterministic",0,ROUND(P6_Export!$C137*說明!$C$22,1)))</f>
        <v/>
      </c>
      <c r="F137" s="4" t="str">
        <f aca="false">IF($A137="","",P6_Export!$C137)</f>
        <v/>
      </c>
      <c r="G137" s="4" t="str">
        <f aca="false">IF($A137="","",IF($D137="deterministic",0,ROUND(P6_Export!$C137*說明!$C$23,1)))</f>
        <v/>
      </c>
    </row>
    <row r="138" customFormat="false" ht="15" hidden="false" customHeight="false" outlineLevel="0" collapsed="false">
      <c r="A138" s="4" t="str">
        <f aca="false">IF(TRIM(P6_Export!A138)="","",TRIM(P6_Export!A138))</f>
        <v/>
      </c>
      <c r="B138" s="4" t="str">
        <f aca="false">IF($A138="","",P6_Export!B138)</f>
        <v/>
      </c>
      <c r="C138" s="4" t="str">
        <f aca="false">IF($A138="","",SUBSTITUTE(SUBSTITUTE(TRIM(P6_Export!D138)," ",""),",",";"))</f>
        <v/>
      </c>
      <c r="D138" s="4" t="str">
        <f aca="false">IF($A138="","",IF(P6_Export!$C138=0,"deterministic","triangular"))</f>
        <v/>
      </c>
      <c r="E138" s="4" t="str">
        <f aca="false">IF($A138="","",IF($D138="deterministic",0,ROUND(P6_Export!$C138*說明!$C$22,1)))</f>
        <v/>
      </c>
      <c r="F138" s="4" t="str">
        <f aca="false">IF($A138="","",P6_Export!$C138)</f>
        <v/>
      </c>
      <c r="G138" s="4" t="str">
        <f aca="false">IF($A138="","",IF($D138="deterministic",0,ROUND(P6_Export!$C138*說明!$C$23,1)))</f>
        <v/>
      </c>
    </row>
    <row r="139" customFormat="false" ht="15" hidden="false" customHeight="false" outlineLevel="0" collapsed="false">
      <c r="A139" s="4" t="str">
        <f aca="false">IF(TRIM(P6_Export!A139)="","",TRIM(P6_Export!A139))</f>
        <v/>
      </c>
      <c r="B139" s="4" t="str">
        <f aca="false">IF($A139="","",P6_Export!B139)</f>
        <v/>
      </c>
      <c r="C139" s="4" t="str">
        <f aca="false">IF($A139="","",SUBSTITUTE(SUBSTITUTE(TRIM(P6_Export!D139)," ",""),",",";"))</f>
        <v/>
      </c>
      <c r="D139" s="4" t="str">
        <f aca="false">IF($A139="","",IF(P6_Export!$C139=0,"deterministic","triangular"))</f>
        <v/>
      </c>
      <c r="E139" s="4" t="str">
        <f aca="false">IF($A139="","",IF($D139="deterministic",0,ROUND(P6_Export!$C139*說明!$C$22,1)))</f>
        <v/>
      </c>
      <c r="F139" s="4" t="str">
        <f aca="false">IF($A139="","",P6_Export!$C139)</f>
        <v/>
      </c>
      <c r="G139" s="4" t="str">
        <f aca="false">IF($A139="","",IF($D139="deterministic",0,ROUND(P6_Export!$C139*說明!$C$23,1)))</f>
        <v/>
      </c>
    </row>
    <row r="140" customFormat="false" ht="15" hidden="false" customHeight="false" outlineLevel="0" collapsed="false">
      <c r="A140" s="4" t="str">
        <f aca="false">IF(TRIM(P6_Export!A140)="","",TRIM(P6_Export!A140))</f>
        <v/>
      </c>
      <c r="B140" s="4" t="str">
        <f aca="false">IF($A140="","",P6_Export!B140)</f>
        <v/>
      </c>
      <c r="C140" s="4" t="str">
        <f aca="false">IF($A140="","",SUBSTITUTE(SUBSTITUTE(TRIM(P6_Export!D140)," ",""),",",";"))</f>
        <v/>
      </c>
      <c r="D140" s="4" t="str">
        <f aca="false">IF($A140="","",IF(P6_Export!$C140=0,"deterministic","triangular"))</f>
        <v/>
      </c>
      <c r="E140" s="4" t="str">
        <f aca="false">IF($A140="","",IF($D140="deterministic",0,ROUND(P6_Export!$C140*說明!$C$22,1)))</f>
        <v/>
      </c>
      <c r="F140" s="4" t="str">
        <f aca="false">IF($A140="","",P6_Export!$C140)</f>
        <v/>
      </c>
      <c r="G140" s="4" t="str">
        <f aca="false">IF($A140="","",IF($D140="deterministic",0,ROUND(P6_Export!$C140*說明!$C$23,1)))</f>
        <v/>
      </c>
    </row>
    <row r="141" customFormat="false" ht="15" hidden="false" customHeight="false" outlineLevel="0" collapsed="false">
      <c r="A141" s="4" t="str">
        <f aca="false">IF(TRIM(P6_Export!A141)="","",TRIM(P6_Export!A141))</f>
        <v/>
      </c>
      <c r="B141" s="4" t="str">
        <f aca="false">IF($A141="","",P6_Export!B141)</f>
        <v/>
      </c>
      <c r="C141" s="4" t="str">
        <f aca="false">IF($A141="","",SUBSTITUTE(SUBSTITUTE(TRIM(P6_Export!D141)," ",""),",",";"))</f>
        <v/>
      </c>
      <c r="D141" s="4" t="str">
        <f aca="false">IF($A141="","",IF(P6_Export!$C141=0,"deterministic","triangular"))</f>
        <v/>
      </c>
      <c r="E141" s="4" t="str">
        <f aca="false">IF($A141="","",IF($D141="deterministic",0,ROUND(P6_Export!$C141*說明!$C$22,1)))</f>
        <v/>
      </c>
      <c r="F141" s="4" t="str">
        <f aca="false">IF($A141="","",P6_Export!$C141)</f>
        <v/>
      </c>
      <c r="G141" s="4" t="str">
        <f aca="false">IF($A141="","",IF($D141="deterministic",0,ROUND(P6_Export!$C141*說明!$C$23,1)))</f>
        <v/>
      </c>
    </row>
    <row r="142" customFormat="false" ht="15" hidden="false" customHeight="false" outlineLevel="0" collapsed="false">
      <c r="A142" s="4" t="str">
        <f aca="false">IF(TRIM(P6_Export!A142)="","",TRIM(P6_Export!A142))</f>
        <v/>
      </c>
      <c r="B142" s="4" t="str">
        <f aca="false">IF($A142="","",P6_Export!B142)</f>
        <v/>
      </c>
      <c r="C142" s="4" t="str">
        <f aca="false">IF($A142="","",SUBSTITUTE(SUBSTITUTE(TRIM(P6_Export!D142)," ",""),",",";"))</f>
        <v/>
      </c>
      <c r="D142" s="4" t="str">
        <f aca="false">IF($A142="","",IF(P6_Export!$C142=0,"deterministic","triangular"))</f>
        <v/>
      </c>
      <c r="E142" s="4" t="str">
        <f aca="false">IF($A142="","",IF($D142="deterministic",0,ROUND(P6_Export!$C142*說明!$C$22,1)))</f>
        <v/>
      </c>
      <c r="F142" s="4" t="str">
        <f aca="false">IF($A142="","",P6_Export!$C142)</f>
        <v/>
      </c>
      <c r="G142" s="4" t="str">
        <f aca="false">IF($A142="","",IF($D142="deterministic",0,ROUND(P6_Export!$C142*說明!$C$23,1)))</f>
        <v/>
      </c>
    </row>
    <row r="143" customFormat="false" ht="15" hidden="false" customHeight="false" outlineLevel="0" collapsed="false">
      <c r="A143" s="4" t="str">
        <f aca="false">IF(TRIM(P6_Export!A143)="","",TRIM(P6_Export!A143))</f>
        <v/>
      </c>
      <c r="B143" s="4" t="str">
        <f aca="false">IF($A143="","",P6_Export!B143)</f>
        <v/>
      </c>
      <c r="C143" s="4" t="str">
        <f aca="false">IF($A143="","",SUBSTITUTE(SUBSTITUTE(TRIM(P6_Export!D143)," ",""),",",";"))</f>
        <v/>
      </c>
      <c r="D143" s="4" t="str">
        <f aca="false">IF($A143="","",IF(P6_Export!$C143=0,"deterministic","triangular"))</f>
        <v/>
      </c>
      <c r="E143" s="4" t="str">
        <f aca="false">IF($A143="","",IF($D143="deterministic",0,ROUND(P6_Export!$C143*說明!$C$22,1)))</f>
        <v/>
      </c>
      <c r="F143" s="4" t="str">
        <f aca="false">IF($A143="","",P6_Export!$C143)</f>
        <v/>
      </c>
      <c r="G143" s="4" t="str">
        <f aca="false">IF($A143="","",IF($D143="deterministic",0,ROUND(P6_Export!$C143*說明!$C$23,1)))</f>
        <v/>
      </c>
    </row>
    <row r="144" customFormat="false" ht="15" hidden="false" customHeight="false" outlineLevel="0" collapsed="false">
      <c r="A144" s="4" t="str">
        <f aca="false">IF(TRIM(P6_Export!A144)="","",TRIM(P6_Export!A144))</f>
        <v/>
      </c>
      <c r="B144" s="4" t="str">
        <f aca="false">IF($A144="","",P6_Export!B144)</f>
        <v/>
      </c>
      <c r="C144" s="4" t="str">
        <f aca="false">IF($A144="","",SUBSTITUTE(SUBSTITUTE(TRIM(P6_Export!D144)," ",""),",",";"))</f>
        <v/>
      </c>
      <c r="D144" s="4" t="str">
        <f aca="false">IF($A144="","",IF(P6_Export!$C144=0,"deterministic","triangular"))</f>
        <v/>
      </c>
      <c r="E144" s="4" t="str">
        <f aca="false">IF($A144="","",IF($D144="deterministic",0,ROUND(P6_Export!$C144*說明!$C$22,1)))</f>
        <v/>
      </c>
      <c r="F144" s="4" t="str">
        <f aca="false">IF($A144="","",P6_Export!$C144)</f>
        <v/>
      </c>
      <c r="G144" s="4" t="str">
        <f aca="false">IF($A144="","",IF($D144="deterministic",0,ROUND(P6_Export!$C144*說明!$C$23,1)))</f>
        <v/>
      </c>
    </row>
    <row r="145" customFormat="false" ht="15" hidden="false" customHeight="false" outlineLevel="0" collapsed="false">
      <c r="A145" s="4" t="str">
        <f aca="false">IF(TRIM(P6_Export!A145)="","",TRIM(P6_Export!A145))</f>
        <v/>
      </c>
      <c r="B145" s="4" t="str">
        <f aca="false">IF($A145="","",P6_Export!B145)</f>
        <v/>
      </c>
      <c r="C145" s="4" t="str">
        <f aca="false">IF($A145="","",SUBSTITUTE(SUBSTITUTE(TRIM(P6_Export!D145)," ",""),",",";"))</f>
        <v/>
      </c>
      <c r="D145" s="4" t="str">
        <f aca="false">IF($A145="","",IF(P6_Export!$C145=0,"deterministic","triangular"))</f>
        <v/>
      </c>
      <c r="E145" s="4" t="str">
        <f aca="false">IF($A145="","",IF($D145="deterministic",0,ROUND(P6_Export!$C145*說明!$C$22,1)))</f>
        <v/>
      </c>
      <c r="F145" s="4" t="str">
        <f aca="false">IF($A145="","",P6_Export!$C145)</f>
        <v/>
      </c>
      <c r="G145" s="4" t="str">
        <f aca="false">IF($A145="","",IF($D145="deterministic",0,ROUND(P6_Export!$C145*說明!$C$23,1)))</f>
        <v/>
      </c>
    </row>
    <row r="146" customFormat="false" ht="15" hidden="false" customHeight="false" outlineLevel="0" collapsed="false">
      <c r="A146" s="4" t="str">
        <f aca="false">IF(TRIM(P6_Export!A146)="","",TRIM(P6_Export!A146))</f>
        <v/>
      </c>
      <c r="B146" s="4" t="str">
        <f aca="false">IF($A146="","",P6_Export!B146)</f>
        <v/>
      </c>
      <c r="C146" s="4" t="str">
        <f aca="false">IF($A146="","",SUBSTITUTE(SUBSTITUTE(TRIM(P6_Export!D146)," ",""),",",";"))</f>
        <v/>
      </c>
      <c r="D146" s="4" t="str">
        <f aca="false">IF($A146="","",IF(P6_Export!$C146=0,"deterministic","triangular"))</f>
        <v/>
      </c>
      <c r="E146" s="4" t="str">
        <f aca="false">IF($A146="","",IF($D146="deterministic",0,ROUND(P6_Export!$C146*說明!$C$22,1)))</f>
        <v/>
      </c>
      <c r="F146" s="4" t="str">
        <f aca="false">IF($A146="","",P6_Export!$C146)</f>
        <v/>
      </c>
      <c r="G146" s="4" t="str">
        <f aca="false">IF($A146="","",IF($D146="deterministic",0,ROUND(P6_Export!$C146*說明!$C$23,1)))</f>
        <v/>
      </c>
    </row>
    <row r="147" customFormat="false" ht="15" hidden="false" customHeight="false" outlineLevel="0" collapsed="false">
      <c r="A147" s="4" t="str">
        <f aca="false">IF(TRIM(P6_Export!A147)="","",TRIM(P6_Export!A147))</f>
        <v/>
      </c>
      <c r="B147" s="4" t="str">
        <f aca="false">IF($A147="","",P6_Export!B147)</f>
        <v/>
      </c>
      <c r="C147" s="4" t="str">
        <f aca="false">IF($A147="","",SUBSTITUTE(SUBSTITUTE(TRIM(P6_Export!D147)," ",""),",",";"))</f>
        <v/>
      </c>
      <c r="D147" s="4" t="str">
        <f aca="false">IF($A147="","",IF(P6_Export!$C147=0,"deterministic","triangular"))</f>
        <v/>
      </c>
      <c r="E147" s="4" t="str">
        <f aca="false">IF($A147="","",IF($D147="deterministic",0,ROUND(P6_Export!$C147*說明!$C$22,1)))</f>
        <v/>
      </c>
      <c r="F147" s="4" t="str">
        <f aca="false">IF($A147="","",P6_Export!$C147)</f>
        <v/>
      </c>
      <c r="G147" s="4" t="str">
        <f aca="false">IF($A147="","",IF($D147="deterministic",0,ROUND(P6_Export!$C147*說明!$C$23,1)))</f>
        <v/>
      </c>
    </row>
    <row r="148" customFormat="false" ht="15" hidden="false" customHeight="false" outlineLevel="0" collapsed="false">
      <c r="A148" s="4" t="str">
        <f aca="false">IF(TRIM(P6_Export!A148)="","",TRIM(P6_Export!A148))</f>
        <v/>
      </c>
      <c r="B148" s="4" t="str">
        <f aca="false">IF($A148="","",P6_Export!B148)</f>
        <v/>
      </c>
      <c r="C148" s="4" t="str">
        <f aca="false">IF($A148="","",SUBSTITUTE(SUBSTITUTE(TRIM(P6_Export!D148)," ",""),",",";"))</f>
        <v/>
      </c>
      <c r="D148" s="4" t="str">
        <f aca="false">IF($A148="","",IF(P6_Export!$C148=0,"deterministic","triangular"))</f>
        <v/>
      </c>
      <c r="E148" s="4" t="str">
        <f aca="false">IF($A148="","",IF($D148="deterministic",0,ROUND(P6_Export!$C148*說明!$C$22,1)))</f>
        <v/>
      </c>
      <c r="F148" s="4" t="str">
        <f aca="false">IF($A148="","",P6_Export!$C148)</f>
        <v/>
      </c>
      <c r="G148" s="4" t="str">
        <f aca="false">IF($A148="","",IF($D148="deterministic",0,ROUND(P6_Export!$C148*說明!$C$23,1)))</f>
        <v/>
      </c>
    </row>
    <row r="149" customFormat="false" ht="15" hidden="false" customHeight="false" outlineLevel="0" collapsed="false">
      <c r="A149" s="4" t="str">
        <f aca="false">IF(TRIM(P6_Export!A149)="","",TRIM(P6_Export!A149))</f>
        <v/>
      </c>
      <c r="B149" s="4" t="str">
        <f aca="false">IF($A149="","",P6_Export!B149)</f>
        <v/>
      </c>
      <c r="C149" s="4" t="str">
        <f aca="false">IF($A149="","",SUBSTITUTE(SUBSTITUTE(TRIM(P6_Export!D149)," ",""),",",";"))</f>
        <v/>
      </c>
      <c r="D149" s="4" t="str">
        <f aca="false">IF($A149="","",IF(P6_Export!$C149=0,"deterministic","triangular"))</f>
        <v/>
      </c>
      <c r="E149" s="4" t="str">
        <f aca="false">IF($A149="","",IF($D149="deterministic",0,ROUND(P6_Export!$C149*說明!$C$22,1)))</f>
        <v/>
      </c>
      <c r="F149" s="4" t="str">
        <f aca="false">IF($A149="","",P6_Export!$C149)</f>
        <v/>
      </c>
      <c r="G149" s="4" t="str">
        <f aca="false">IF($A149="","",IF($D149="deterministic",0,ROUND(P6_Export!$C149*說明!$C$23,1)))</f>
        <v/>
      </c>
    </row>
    <row r="150" customFormat="false" ht="15" hidden="false" customHeight="false" outlineLevel="0" collapsed="false">
      <c r="A150" s="4" t="str">
        <f aca="false">IF(TRIM(P6_Export!A150)="","",TRIM(P6_Export!A150))</f>
        <v/>
      </c>
      <c r="B150" s="4" t="str">
        <f aca="false">IF($A150="","",P6_Export!B150)</f>
        <v/>
      </c>
      <c r="C150" s="4" t="str">
        <f aca="false">IF($A150="","",SUBSTITUTE(SUBSTITUTE(TRIM(P6_Export!D150)," ",""),",",";"))</f>
        <v/>
      </c>
      <c r="D150" s="4" t="str">
        <f aca="false">IF($A150="","",IF(P6_Export!$C150=0,"deterministic","triangular"))</f>
        <v/>
      </c>
      <c r="E150" s="4" t="str">
        <f aca="false">IF($A150="","",IF($D150="deterministic",0,ROUND(P6_Export!$C150*說明!$C$22,1)))</f>
        <v/>
      </c>
      <c r="F150" s="4" t="str">
        <f aca="false">IF($A150="","",P6_Export!$C150)</f>
        <v/>
      </c>
      <c r="G150" s="4" t="str">
        <f aca="false">IF($A150="","",IF($D150="deterministic",0,ROUND(P6_Export!$C150*說明!$C$23,1)))</f>
        <v/>
      </c>
    </row>
    <row r="151" customFormat="false" ht="15" hidden="false" customHeight="false" outlineLevel="0" collapsed="false">
      <c r="A151" s="4" t="str">
        <f aca="false">IF(TRIM(P6_Export!A151)="","",TRIM(P6_Export!A151))</f>
        <v/>
      </c>
      <c r="B151" s="4" t="str">
        <f aca="false">IF($A151="","",P6_Export!B151)</f>
        <v/>
      </c>
      <c r="C151" s="4" t="str">
        <f aca="false">IF($A151="","",SUBSTITUTE(SUBSTITUTE(TRIM(P6_Export!D151)," ",""),",",";"))</f>
        <v/>
      </c>
      <c r="D151" s="4" t="str">
        <f aca="false">IF($A151="","",IF(P6_Export!$C151=0,"deterministic","triangular"))</f>
        <v/>
      </c>
      <c r="E151" s="4" t="str">
        <f aca="false">IF($A151="","",IF($D151="deterministic",0,ROUND(P6_Export!$C151*說明!$C$22,1)))</f>
        <v/>
      </c>
      <c r="F151" s="4" t="str">
        <f aca="false">IF($A151="","",P6_Export!$C151)</f>
        <v/>
      </c>
      <c r="G151" s="4" t="str">
        <f aca="false">IF($A151="","",IF($D151="deterministic",0,ROUND(P6_Export!$C151*說明!$C$23,1)))</f>
        <v/>
      </c>
    </row>
    <row r="152" customFormat="false" ht="15" hidden="false" customHeight="false" outlineLevel="0" collapsed="false">
      <c r="A152" s="4" t="str">
        <f aca="false">IF(TRIM(P6_Export!A152)="","",TRIM(P6_Export!A152))</f>
        <v/>
      </c>
      <c r="B152" s="4" t="str">
        <f aca="false">IF($A152="","",P6_Export!B152)</f>
        <v/>
      </c>
      <c r="C152" s="4" t="str">
        <f aca="false">IF($A152="","",SUBSTITUTE(SUBSTITUTE(TRIM(P6_Export!D152)," ",""),",",";"))</f>
        <v/>
      </c>
      <c r="D152" s="4" t="str">
        <f aca="false">IF($A152="","",IF(P6_Export!$C152=0,"deterministic","triangular"))</f>
        <v/>
      </c>
      <c r="E152" s="4" t="str">
        <f aca="false">IF($A152="","",IF($D152="deterministic",0,ROUND(P6_Export!$C152*說明!$C$22,1)))</f>
        <v/>
      </c>
      <c r="F152" s="4" t="str">
        <f aca="false">IF($A152="","",P6_Export!$C152)</f>
        <v/>
      </c>
      <c r="G152" s="4" t="str">
        <f aca="false">IF($A152="","",IF($D152="deterministic",0,ROUND(P6_Export!$C152*說明!$C$23,1)))</f>
        <v/>
      </c>
    </row>
    <row r="153" customFormat="false" ht="15" hidden="false" customHeight="false" outlineLevel="0" collapsed="false">
      <c r="A153" s="4" t="str">
        <f aca="false">IF(TRIM(P6_Export!A153)="","",TRIM(P6_Export!A153))</f>
        <v/>
      </c>
      <c r="B153" s="4" t="str">
        <f aca="false">IF($A153="","",P6_Export!B153)</f>
        <v/>
      </c>
      <c r="C153" s="4" t="str">
        <f aca="false">IF($A153="","",SUBSTITUTE(SUBSTITUTE(TRIM(P6_Export!D153)," ",""),",",";"))</f>
        <v/>
      </c>
      <c r="D153" s="4" t="str">
        <f aca="false">IF($A153="","",IF(P6_Export!$C153=0,"deterministic","triangular"))</f>
        <v/>
      </c>
      <c r="E153" s="4" t="str">
        <f aca="false">IF($A153="","",IF($D153="deterministic",0,ROUND(P6_Export!$C153*說明!$C$22,1)))</f>
        <v/>
      </c>
      <c r="F153" s="4" t="str">
        <f aca="false">IF($A153="","",P6_Export!$C153)</f>
        <v/>
      </c>
      <c r="G153" s="4" t="str">
        <f aca="false">IF($A153="","",IF($D153="deterministic",0,ROUND(P6_Export!$C153*說明!$C$23,1)))</f>
        <v/>
      </c>
    </row>
    <row r="154" customFormat="false" ht="15" hidden="false" customHeight="false" outlineLevel="0" collapsed="false">
      <c r="A154" s="4" t="str">
        <f aca="false">IF(TRIM(P6_Export!A154)="","",TRIM(P6_Export!A154))</f>
        <v/>
      </c>
      <c r="B154" s="4" t="str">
        <f aca="false">IF($A154="","",P6_Export!B154)</f>
        <v/>
      </c>
      <c r="C154" s="4" t="str">
        <f aca="false">IF($A154="","",SUBSTITUTE(SUBSTITUTE(TRIM(P6_Export!D154)," ",""),",",";"))</f>
        <v/>
      </c>
      <c r="D154" s="4" t="str">
        <f aca="false">IF($A154="","",IF(P6_Export!$C154=0,"deterministic","triangular"))</f>
        <v/>
      </c>
      <c r="E154" s="4" t="str">
        <f aca="false">IF($A154="","",IF($D154="deterministic",0,ROUND(P6_Export!$C154*說明!$C$22,1)))</f>
        <v/>
      </c>
      <c r="F154" s="4" t="str">
        <f aca="false">IF($A154="","",P6_Export!$C154)</f>
        <v/>
      </c>
      <c r="G154" s="4" t="str">
        <f aca="false">IF($A154="","",IF($D154="deterministic",0,ROUND(P6_Export!$C154*說明!$C$23,1)))</f>
        <v/>
      </c>
    </row>
    <row r="155" customFormat="false" ht="15" hidden="false" customHeight="false" outlineLevel="0" collapsed="false">
      <c r="A155" s="4" t="str">
        <f aca="false">IF(TRIM(P6_Export!A155)="","",TRIM(P6_Export!A155))</f>
        <v/>
      </c>
      <c r="B155" s="4" t="str">
        <f aca="false">IF($A155="","",P6_Export!B155)</f>
        <v/>
      </c>
      <c r="C155" s="4" t="str">
        <f aca="false">IF($A155="","",SUBSTITUTE(SUBSTITUTE(TRIM(P6_Export!D155)," ",""),",",";"))</f>
        <v/>
      </c>
      <c r="D155" s="4" t="str">
        <f aca="false">IF($A155="","",IF(P6_Export!$C155=0,"deterministic","triangular"))</f>
        <v/>
      </c>
      <c r="E155" s="4" t="str">
        <f aca="false">IF($A155="","",IF($D155="deterministic",0,ROUND(P6_Export!$C155*說明!$C$22,1)))</f>
        <v/>
      </c>
      <c r="F155" s="4" t="str">
        <f aca="false">IF($A155="","",P6_Export!$C155)</f>
        <v/>
      </c>
      <c r="G155" s="4" t="str">
        <f aca="false">IF($A155="","",IF($D155="deterministic",0,ROUND(P6_Export!$C155*說明!$C$23,1)))</f>
        <v/>
      </c>
    </row>
    <row r="156" customFormat="false" ht="15" hidden="false" customHeight="false" outlineLevel="0" collapsed="false">
      <c r="A156" s="4" t="str">
        <f aca="false">IF(TRIM(P6_Export!A156)="","",TRIM(P6_Export!A156))</f>
        <v/>
      </c>
      <c r="B156" s="4" t="str">
        <f aca="false">IF($A156="","",P6_Export!B156)</f>
        <v/>
      </c>
      <c r="C156" s="4" t="str">
        <f aca="false">IF($A156="","",SUBSTITUTE(SUBSTITUTE(TRIM(P6_Export!D156)," ",""),",",";"))</f>
        <v/>
      </c>
      <c r="D156" s="4" t="str">
        <f aca="false">IF($A156="","",IF(P6_Export!$C156=0,"deterministic","triangular"))</f>
        <v/>
      </c>
      <c r="E156" s="4" t="str">
        <f aca="false">IF($A156="","",IF($D156="deterministic",0,ROUND(P6_Export!$C156*說明!$C$22,1)))</f>
        <v/>
      </c>
      <c r="F156" s="4" t="str">
        <f aca="false">IF($A156="","",P6_Export!$C156)</f>
        <v/>
      </c>
      <c r="G156" s="4" t="str">
        <f aca="false">IF($A156="","",IF($D156="deterministic",0,ROUND(P6_Export!$C156*說明!$C$23,1)))</f>
        <v/>
      </c>
    </row>
    <row r="157" customFormat="false" ht="15" hidden="false" customHeight="false" outlineLevel="0" collapsed="false">
      <c r="A157" s="4" t="str">
        <f aca="false">IF(TRIM(P6_Export!A157)="","",TRIM(P6_Export!A157))</f>
        <v/>
      </c>
      <c r="B157" s="4" t="str">
        <f aca="false">IF($A157="","",P6_Export!B157)</f>
        <v/>
      </c>
      <c r="C157" s="4" t="str">
        <f aca="false">IF($A157="","",SUBSTITUTE(SUBSTITUTE(TRIM(P6_Export!D157)," ",""),",",";"))</f>
        <v/>
      </c>
      <c r="D157" s="4" t="str">
        <f aca="false">IF($A157="","",IF(P6_Export!$C157=0,"deterministic","triangular"))</f>
        <v/>
      </c>
      <c r="E157" s="4" t="str">
        <f aca="false">IF($A157="","",IF($D157="deterministic",0,ROUND(P6_Export!$C157*說明!$C$22,1)))</f>
        <v/>
      </c>
      <c r="F157" s="4" t="str">
        <f aca="false">IF($A157="","",P6_Export!$C157)</f>
        <v/>
      </c>
      <c r="G157" s="4" t="str">
        <f aca="false">IF($A157="","",IF($D157="deterministic",0,ROUND(P6_Export!$C157*說明!$C$23,1)))</f>
        <v/>
      </c>
    </row>
    <row r="158" customFormat="false" ht="15" hidden="false" customHeight="false" outlineLevel="0" collapsed="false">
      <c r="A158" s="4" t="str">
        <f aca="false">IF(TRIM(P6_Export!A158)="","",TRIM(P6_Export!A158))</f>
        <v/>
      </c>
      <c r="B158" s="4" t="str">
        <f aca="false">IF($A158="","",P6_Export!B158)</f>
        <v/>
      </c>
      <c r="C158" s="4" t="str">
        <f aca="false">IF($A158="","",SUBSTITUTE(SUBSTITUTE(TRIM(P6_Export!D158)," ",""),",",";"))</f>
        <v/>
      </c>
      <c r="D158" s="4" t="str">
        <f aca="false">IF($A158="","",IF(P6_Export!$C158=0,"deterministic","triangular"))</f>
        <v/>
      </c>
      <c r="E158" s="4" t="str">
        <f aca="false">IF($A158="","",IF($D158="deterministic",0,ROUND(P6_Export!$C158*說明!$C$22,1)))</f>
        <v/>
      </c>
      <c r="F158" s="4" t="str">
        <f aca="false">IF($A158="","",P6_Export!$C158)</f>
        <v/>
      </c>
      <c r="G158" s="4" t="str">
        <f aca="false">IF($A158="","",IF($D158="deterministic",0,ROUND(P6_Export!$C158*說明!$C$23,1)))</f>
        <v/>
      </c>
    </row>
    <row r="159" customFormat="false" ht="15" hidden="false" customHeight="false" outlineLevel="0" collapsed="false">
      <c r="A159" s="4" t="str">
        <f aca="false">IF(TRIM(P6_Export!A159)="","",TRIM(P6_Export!A159))</f>
        <v/>
      </c>
      <c r="B159" s="4" t="str">
        <f aca="false">IF($A159="","",P6_Export!B159)</f>
        <v/>
      </c>
      <c r="C159" s="4" t="str">
        <f aca="false">IF($A159="","",SUBSTITUTE(SUBSTITUTE(TRIM(P6_Export!D159)," ",""),",",";"))</f>
        <v/>
      </c>
      <c r="D159" s="4" t="str">
        <f aca="false">IF($A159="","",IF(P6_Export!$C159=0,"deterministic","triangular"))</f>
        <v/>
      </c>
      <c r="E159" s="4" t="str">
        <f aca="false">IF($A159="","",IF($D159="deterministic",0,ROUND(P6_Export!$C159*說明!$C$22,1)))</f>
        <v/>
      </c>
      <c r="F159" s="4" t="str">
        <f aca="false">IF($A159="","",P6_Export!$C159)</f>
        <v/>
      </c>
      <c r="G159" s="4" t="str">
        <f aca="false">IF($A159="","",IF($D159="deterministic",0,ROUND(P6_Export!$C159*說明!$C$23,1)))</f>
        <v/>
      </c>
    </row>
    <row r="160" customFormat="false" ht="15" hidden="false" customHeight="false" outlineLevel="0" collapsed="false">
      <c r="A160" s="4" t="str">
        <f aca="false">IF(TRIM(P6_Export!A160)="","",TRIM(P6_Export!A160))</f>
        <v/>
      </c>
      <c r="B160" s="4" t="str">
        <f aca="false">IF($A160="","",P6_Export!B160)</f>
        <v/>
      </c>
      <c r="C160" s="4" t="str">
        <f aca="false">IF($A160="","",SUBSTITUTE(SUBSTITUTE(TRIM(P6_Export!D160)," ",""),",",";"))</f>
        <v/>
      </c>
      <c r="D160" s="4" t="str">
        <f aca="false">IF($A160="","",IF(P6_Export!$C160=0,"deterministic","triangular"))</f>
        <v/>
      </c>
      <c r="E160" s="4" t="str">
        <f aca="false">IF($A160="","",IF($D160="deterministic",0,ROUND(P6_Export!$C160*說明!$C$22,1)))</f>
        <v/>
      </c>
      <c r="F160" s="4" t="str">
        <f aca="false">IF($A160="","",P6_Export!$C160)</f>
        <v/>
      </c>
      <c r="G160" s="4" t="str">
        <f aca="false">IF($A160="","",IF($D160="deterministic",0,ROUND(P6_Export!$C160*說明!$C$23,1)))</f>
        <v/>
      </c>
    </row>
    <row r="161" customFormat="false" ht="15" hidden="false" customHeight="false" outlineLevel="0" collapsed="false">
      <c r="A161" s="4" t="str">
        <f aca="false">IF(TRIM(P6_Export!A161)="","",TRIM(P6_Export!A161))</f>
        <v/>
      </c>
      <c r="B161" s="4" t="str">
        <f aca="false">IF($A161="","",P6_Export!B161)</f>
        <v/>
      </c>
      <c r="C161" s="4" t="str">
        <f aca="false">IF($A161="","",SUBSTITUTE(SUBSTITUTE(TRIM(P6_Export!D161)," ",""),",",";"))</f>
        <v/>
      </c>
      <c r="D161" s="4" t="str">
        <f aca="false">IF($A161="","",IF(P6_Export!$C161=0,"deterministic","triangular"))</f>
        <v/>
      </c>
      <c r="E161" s="4" t="str">
        <f aca="false">IF($A161="","",IF($D161="deterministic",0,ROUND(P6_Export!$C161*說明!$C$22,1)))</f>
        <v/>
      </c>
      <c r="F161" s="4" t="str">
        <f aca="false">IF($A161="","",P6_Export!$C161)</f>
        <v/>
      </c>
      <c r="G161" s="4" t="str">
        <f aca="false">IF($A161="","",IF($D161="deterministic",0,ROUND(P6_Export!$C161*說明!$C$23,1)))</f>
        <v/>
      </c>
    </row>
    <row r="162" customFormat="false" ht="15" hidden="false" customHeight="false" outlineLevel="0" collapsed="false">
      <c r="A162" s="4" t="str">
        <f aca="false">IF(TRIM(P6_Export!A162)="","",TRIM(P6_Export!A162))</f>
        <v/>
      </c>
      <c r="B162" s="4" t="str">
        <f aca="false">IF($A162="","",P6_Export!B162)</f>
        <v/>
      </c>
      <c r="C162" s="4" t="str">
        <f aca="false">IF($A162="","",SUBSTITUTE(SUBSTITUTE(TRIM(P6_Export!D162)," ",""),",",";"))</f>
        <v/>
      </c>
      <c r="D162" s="4" t="str">
        <f aca="false">IF($A162="","",IF(P6_Export!$C162=0,"deterministic","triangular"))</f>
        <v/>
      </c>
      <c r="E162" s="4" t="str">
        <f aca="false">IF($A162="","",IF($D162="deterministic",0,ROUND(P6_Export!$C162*說明!$C$22,1)))</f>
        <v/>
      </c>
      <c r="F162" s="4" t="str">
        <f aca="false">IF($A162="","",P6_Export!$C162)</f>
        <v/>
      </c>
      <c r="G162" s="4" t="str">
        <f aca="false">IF($A162="","",IF($D162="deterministic",0,ROUND(P6_Export!$C162*說明!$C$23,1)))</f>
        <v/>
      </c>
    </row>
    <row r="163" customFormat="false" ht="15" hidden="false" customHeight="false" outlineLevel="0" collapsed="false">
      <c r="A163" s="4" t="str">
        <f aca="false">IF(TRIM(P6_Export!A163)="","",TRIM(P6_Export!A163))</f>
        <v/>
      </c>
      <c r="B163" s="4" t="str">
        <f aca="false">IF($A163="","",P6_Export!B163)</f>
        <v/>
      </c>
      <c r="C163" s="4" t="str">
        <f aca="false">IF($A163="","",SUBSTITUTE(SUBSTITUTE(TRIM(P6_Export!D163)," ",""),",",";"))</f>
        <v/>
      </c>
      <c r="D163" s="4" t="str">
        <f aca="false">IF($A163="","",IF(P6_Export!$C163=0,"deterministic","triangular"))</f>
        <v/>
      </c>
      <c r="E163" s="4" t="str">
        <f aca="false">IF($A163="","",IF($D163="deterministic",0,ROUND(P6_Export!$C163*說明!$C$22,1)))</f>
        <v/>
      </c>
      <c r="F163" s="4" t="str">
        <f aca="false">IF($A163="","",P6_Export!$C163)</f>
        <v/>
      </c>
      <c r="G163" s="4" t="str">
        <f aca="false">IF($A163="","",IF($D163="deterministic",0,ROUND(P6_Export!$C163*說明!$C$23,1)))</f>
        <v/>
      </c>
    </row>
    <row r="164" customFormat="false" ht="15" hidden="false" customHeight="false" outlineLevel="0" collapsed="false">
      <c r="A164" s="4" t="str">
        <f aca="false">IF(TRIM(P6_Export!A164)="","",TRIM(P6_Export!A164))</f>
        <v/>
      </c>
      <c r="B164" s="4" t="str">
        <f aca="false">IF($A164="","",P6_Export!B164)</f>
        <v/>
      </c>
      <c r="C164" s="4" t="str">
        <f aca="false">IF($A164="","",SUBSTITUTE(SUBSTITUTE(TRIM(P6_Export!D164)," ",""),",",";"))</f>
        <v/>
      </c>
      <c r="D164" s="4" t="str">
        <f aca="false">IF($A164="","",IF(P6_Export!$C164=0,"deterministic","triangular"))</f>
        <v/>
      </c>
      <c r="E164" s="4" t="str">
        <f aca="false">IF($A164="","",IF($D164="deterministic",0,ROUND(P6_Export!$C164*說明!$C$22,1)))</f>
        <v/>
      </c>
      <c r="F164" s="4" t="str">
        <f aca="false">IF($A164="","",P6_Export!$C164)</f>
        <v/>
      </c>
      <c r="G164" s="4" t="str">
        <f aca="false">IF($A164="","",IF($D164="deterministic",0,ROUND(P6_Export!$C164*說明!$C$23,1)))</f>
        <v/>
      </c>
    </row>
    <row r="165" customFormat="false" ht="15" hidden="false" customHeight="false" outlineLevel="0" collapsed="false">
      <c r="A165" s="4" t="str">
        <f aca="false">IF(TRIM(P6_Export!A165)="","",TRIM(P6_Export!A165))</f>
        <v/>
      </c>
      <c r="B165" s="4" t="str">
        <f aca="false">IF($A165="","",P6_Export!B165)</f>
        <v/>
      </c>
      <c r="C165" s="4" t="str">
        <f aca="false">IF($A165="","",SUBSTITUTE(SUBSTITUTE(TRIM(P6_Export!D165)," ",""),",",";"))</f>
        <v/>
      </c>
      <c r="D165" s="4" t="str">
        <f aca="false">IF($A165="","",IF(P6_Export!$C165=0,"deterministic","triangular"))</f>
        <v/>
      </c>
      <c r="E165" s="4" t="str">
        <f aca="false">IF($A165="","",IF($D165="deterministic",0,ROUND(P6_Export!$C165*說明!$C$22,1)))</f>
        <v/>
      </c>
      <c r="F165" s="4" t="str">
        <f aca="false">IF($A165="","",P6_Export!$C165)</f>
        <v/>
      </c>
      <c r="G165" s="4" t="str">
        <f aca="false">IF($A165="","",IF($D165="deterministic",0,ROUND(P6_Export!$C165*說明!$C$23,1)))</f>
        <v/>
      </c>
    </row>
    <row r="166" customFormat="false" ht="15" hidden="false" customHeight="false" outlineLevel="0" collapsed="false">
      <c r="A166" s="4" t="str">
        <f aca="false">IF(TRIM(P6_Export!A166)="","",TRIM(P6_Export!A166))</f>
        <v/>
      </c>
      <c r="B166" s="4" t="str">
        <f aca="false">IF($A166="","",P6_Export!B166)</f>
        <v/>
      </c>
      <c r="C166" s="4" t="str">
        <f aca="false">IF($A166="","",SUBSTITUTE(SUBSTITUTE(TRIM(P6_Export!D166)," ",""),",",";"))</f>
        <v/>
      </c>
      <c r="D166" s="4" t="str">
        <f aca="false">IF($A166="","",IF(P6_Export!$C166=0,"deterministic","triangular"))</f>
        <v/>
      </c>
      <c r="E166" s="4" t="str">
        <f aca="false">IF($A166="","",IF($D166="deterministic",0,ROUND(P6_Export!$C166*說明!$C$22,1)))</f>
        <v/>
      </c>
      <c r="F166" s="4" t="str">
        <f aca="false">IF($A166="","",P6_Export!$C166)</f>
        <v/>
      </c>
      <c r="G166" s="4" t="str">
        <f aca="false">IF($A166="","",IF($D166="deterministic",0,ROUND(P6_Export!$C166*說明!$C$23,1)))</f>
        <v/>
      </c>
    </row>
    <row r="167" customFormat="false" ht="15" hidden="false" customHeight="false" outlineLevel="0" collapsed="false">
      <c r="A167" s="4" t="str">
        <f aca="false">IF(TRIM(P6_Export!A167)="","",TRIM(P6_Export!A167))</f>
        <v/>
      </c>
      <c r="B167" s="4" t="str">
        <f aca="false">IF($A167="","",P6_Export!B167)</f>
        <v/>
      </c>
      <c r="C167" s="4" t="str">
        <f aca="false">IF($A167="","",SUBSTITUTE(SUBSTITUTE(TRIM(P6_Export!D167)," ",""),",",";"))</f>
        <v/>
      </c>
      <c r="D167" s="4" t="str">
        <f aca="false">IF($A167="","",IF(P6_Export!$C167=0,"deterministic","triangular"))</f>
        <v/>
      </c>
      <c r="E167" s="4" t="str">
        <f aca="false">IF($A167="","",IF($D167="deterministic",0,ROUND(P6_Export!$C167*說明!$C$22,1)))</f>
        <v/>
      </c>
      <c r="F167" s="4" t="str">
        <f aca="false">IF($A167="","",P6_Export!$C167)</f>
        <v/>
      </c>
      <c r="G167" s="4" t="str">
        <f aca="false">IF($A167="","",IF($D167="deterministic",0,ROUND(P6_Export!$C167*說明!$C$23,1)))</f>
        <v/>
      </c>
    </row>
    <row r="168" customFormat="false" ht="15" hidden="false" customHeight="false" outlineLevel="0" collapsed="false">
      <c r="A168" s="4" t="str">
        <f aca="false">IF(TRIM(P6_Export!A168)="","",TRIM(P6_Export!A168))</f>
        <v/>
      </c>
      <c r="B168" s="4" t="str">
        <f aca="false">IF($A168="","",P6_Export!B168)</f>
        <v/>
      </c>
      <c r="C168" s="4" t="str">
        <f aca="false">IF($A168="","",SUBSTITUTE(SUBSTITUTE(TRIM(P6_Export!D168)," ",""),",",";"))</f>
        <v/>
      </c>
      <c r="D168" s="4" t="str">
        <f aca="false">IF($A168="","",IF(P6_Export!$C168=0,"deterministic","triangular"))</f>
        <v/>
      </c>
      <c r="E168" s="4" t="str">
        <f aca="false">IF($A168="","",IF($D168="deterministic",0,ROUND(P6_Export!$C168*說明!$C$22,1)))</f>
        <v/>
      </c>
      <c r="F168" s="4" t="str">
        <f aca="false">IF($A168="","",P6_Export!$C168)</f>
        <v/>
      </c>
      <c r="G168" s="4" t="str">
        <f aca="false">IF($A168="","",IF($D168="deterministic",0,ROUND(P6_Export!$C168*說明!$C$23,1)))</f>
        <v/>
      </c>
    </row>
    <row r="169" customFormat="false" ht="15" hidden="false" customHeight="false" outlineLevel="0" collapsed="false">
      <c r="A169" s="4" t="str">
        <f aca="false">IF(TRIM(P6_Export!A169)="","",TRIM(P6_Export!A169))</f>
        <v/>
      </c>
      <c r="B169" s="4" t="str">
        <f aca="false">IF($A169="","",P6_Export!B169)</f>
        <v/>
      </c>
      <c r="C169" s="4" t="str">
        <f aca="false">IF($A169="","",SUBSTITUTE(SUBSTITUTE(TRIM(P6_Export!D169)," ",""),",",";"))</f>
        <v/>
      </c>
      <c r="D169" s="4" t="str">
        <f aca="false">IF($A169="","",IF(P6_Export!$C169=0,"deterministic","triangular"))</f>
        <v/>
      </c>
      <c r="E169" s="4" t="str">
        <f aca="false">IF($A169="","",IF($D169="deterministic",0,ROUND(P6_Export!$C169*說明!$C$22,1)))</f>
        <v/>
      </c>
      <c r="F169" s="4" t="str">
        <f aca="false">IF($A169="","",P6_Export!$C169)</f>
        <v/>
      </c>
      <c r="G169" s="4" t="str">
        <f aca="false">IF($A169="","",IF($D169="deterministic",0,ROUND(P6_Export!$C169*說明!$C$23,1)))</f>
        <v/>
      </c>
    </row>
    <row r="170" customFormat="false" ht="15" hidden="false" customHeight="false" outlineLevel="0" collapsed="false">
      <c r="A170" s="4" t="str">
        <f aca="false">IF(TRIM(P6_Export!A170)="","",TRIM(P6_Export!A170))</f>
        <v/>
      </c>
      <c r="B170" s="4" t="str">
        <f aca="false">IF($A170="","",P6_Export!B170)</f>
        <v/>
      </c>
      <c r="C170" s="4" t="str">
        <f aca="false">IF($A170="","",SUBSTITUTE(SUBSTITUTE(TRIM(P6_Export!D170)," ",""),",",";"))</f>
        <v/>
      </c>
      <c r="D170" s="4" t="str">
        <f aca="false">IF($A170="","",IF(P6_Export!$C170=0,"deterministic","triangular"))</f>
        <v/>
      </c>
      <c r="E170" s="4" t="str">
        <f aca="false">IF($A170="","",IF($D170="deterministic",0,ROUND(P6_Export!$C170*說明!$C$22,1)))</f>
        <v/>
      </c>
      <c r="F170" s="4" t="str">
        <f aca="false">IF($A170="","",P6_Export!$C170)</f>
        <v/>
      </c>
      <c r="G170" s="4" t="str">
        <f aca="false">IF($A170="","",IF($D170="deterministic",0,ROUND(P6_Export!$C170*說明!$C$23,1)))</f>
        <v/>
      </c>
    </row>
    <row r="171" customFormat="false" ht="15" hidden="false" customHeight="false" outlineLevel="0" collapsed="false">
      <c r="A171" s="4" t="str">
        <f aca="false">IF(TRIM(P6_Export!A171)="","",TRIM(P6_Export!A171))</f>
        <v/>
      </c>
      <c r="B171" s="4" t="str">
        <f aca="false">IF($A171="","",P6_Export!B171)</f>
        <v/>
      </c>
      <c r="C171" s="4" t="str">
        <f aca="false">IF($A171="","",SUBSTITUTE(SUBSTITUTE(TRIM(P6_Export!D171)," ",""),",",";"))</f>
        <v/>
      </c>
      <c r="D171" s="4" t="str">
        <f aca="false">IF($A171="","",IF(P6_Export!$C171=0,"deterministic","triangular"))</f>
        <v/>
      </c>
      <c r="E171" s="4" t="str">
        <f aca="false">IF($A171="","",IF($D171="deterministic",0,ROUND(P6_Export!$C171*說明!$C$22,1)))</f>
        <v/>
      </c>
      <c r="F171" s="4" t="str">
        <f aca="false">IF($A171="","",P6_Export!$C171)</f>
        <v/>
      </c>
      <c r="G171" s="4" t="str">
        <f aca="false">IF($A171="","",IF($D171="deterministic",0,ROUND(P6_Export!$C171*說明!$C$23,1)))</f>
        <v/>
      </c>
    </row>
    <row r="172" customFormat="false" ht="15" hidden="false" customHeight="false" outlineLevel="0" collapsed="false">
      <c r="A172" s="4" t="str">
        <f aca="false">IF(TRIM(P6_Export!A172)="","",TRIM(P6_Export!A172))</f>
        <v/>
      </c>
      <c r="B172" s="4" t="str">
        <f aca="false">IF($A172="","",P6_Export!B172)</f>
        <v/>
      </c>
      <c r="C172" s="4" t="str">
        <f aca="false">IF($A172="","",SUBSTITUTE(SUBSTITUTE(TRIM(P6_Export!D172)," ",""),",",";"))</f>
        <v/>
      </c>
      <c r="D172" s="4" t="str">
        <f aca="false">IF($A172="","",IF(P6_Export!$C172=0,"deterministic","triangular"))</f>
        <v/>
      </c>
      <c r="E172" s="4" t="str">
        <f aca="false">IF($A172="","",IF($D172="deterministic",0,ROUND(P6_Export!$C172*說明!$C$22,1)))</f>
        <v/>
      </c>
      <c r="F172" s="4" t="str">
        <f aca="false">IF($A172="","",P6_Export!$C172)</f>
        <v/>
      </c>
      <c r="G172" s="4" t="str">
        <f aca="false">IF($A172="","",IF($D172="deterministic",0,ROUND(P6_Export!$C172*說明!$C$23,1)))</f>
        <v/>
      </c>
    </row>
    <row r="173" customFormat="false" ht="15" hidden="false" customHeight="false" outlineLevel="0" collapsed="false">
      <c r="A173" s="4" t="str">
        <f aca="false">IF(TRIM(P6_Export!A173)="","",TRIM(P6_Export!A173))</f>
        <v/>
      </c>
      <c r="B173" s="4" t="str">
        <f aca="false">IF($A173="","",P6_Export!B173)</f>
        <v/>
      </c>
      <c r="C173" s="4" t="str">
        <f aca="false">IF($A173="","",SUBSTITUTE(SUBSTITUTE(TRIM(P6_Export!D173)," ",""),",",";"))</f>
        <v/>
      </c>
      <c r="D173" s="4" t="str">
        <f aca="false">IF($A173="","",IF(P6_Export!$C173=0,"deterministic","triangular"))</f>
        <v/>
      </c>
      <c r="E173" s="4" t="str">
        <f aca="false">IF($A173="","",IF($D173="deterministic",0,ROUND(P6_Export!$C173*說明!$C$22,1)))</f>
        <v/>
      </c>
      <c r="F173" s="4" t="str">
        <f aca="false">IF($A173="","",P6_Export!$C173)</f>
        <v/>
      </c>
      <c r="G173" s="4" t="str">
        <f aca="false">IF($A173="","",IF($D173="deterministic",0,ROUND(P6_Export!$C173*說明!$C$23,1)))</f>
        <v/>
      </c>
    </row>
    <row r="174" customFormat="false" ht="15" hidden="false" customHeight="false" outlineLevel="0" collapsed="false">
      <c r="A174" s="4" t="str">
        <f aca="false">IF(TRIM(P6_Export!A174)="","",TRIM(P6_Export!A174))</f>
        <v/>
      </c>
      <c r="B174" s="4" t="str">
        <f aca="false">IF($A174="","",P6_Export!B174)</f>
        <v/>
      </c>
      <c r="C174" s="4" t="str">
        <f aca="false">IF($A174="","",SUBSTITUTE(SUBSTITUTE(TRIM(P6_Export!D174)," ",""),",",";"))</f>
        <v/>
      </c>
      <c r="D174" s="4" t="str">
        <f aca="false">IF($A174="","",IF(P6_Export!$C174=0,"deterministic","triangular"))</f>
        <v/>
      </c>
      <c r="E174" s="4" t="str">
        <f aca="false">IF($A174="","",IF($D174="deterministic",0,ROUND(P6_Export!$C174*說明!$C$22,1)))</f>
        <v/>
      </c>
      <c r="F174" s="4" t="str">
        <f aca="false">IF($A174="","",P6_Export!$C174)</f>
        <v/>
      </c>
      <c r="G174" s="4" t="str">
        <f aca="false">IF($A174="","",IF($D174="deterministic",0,ROUND(P6_Export!$C174*說明!$C$23,1)))</f>
        <v/>
      </c>
    </row>
    <row r="175" customFormat="false" ht="15" hidden="false" customHeight="false" outlineLevel="0" collapsed="false">
      <c r="A175" s="4" t="str">
        <f aca="false">IF(TRIM(P6_Export!A175)="","",TRIM(P6_Export!A175))</f>
        <v/>
      </c>
      <c r="B175" s="4" t="str">
        <f aca="false">IF($A175="","",P6_Export!B175)</f>
        <v/>
      </c>
      <c r="C175" s="4" t="str">
        <f aca="false">IF($A175="","",SUBSTITUTE(SUBSTITUTE(TRIM(P6_Export!D175)," ",""),",",";"))</f>
        <v/>
      </c>
      <c r="D175" s="4" t="str">
        <f aca="false">IF($A175="","",IF(P6_Export!$C175=0,"deterministic","triangular"))</f>
        <v/>
      </c>
      <c r="E175" s="4" t="str">
        <f aca="false">IF($A175="","",IF($D175="deterministic",0,ROUND(P6_Export!$C175*說明!$C$22,1)))</f>
        <v/>
      </c>
      <c r="F175" s="4" t="str">
        <f aca="false">IF($A175="","",P6_Export!$C175)</f>
        <v/>
      </c>
      <c r="G175" s="4" t="str">
        <f aca="false">IF($A175="","",IF($D175="deterministic",0,ROUND(P6_Export!$C175*說明!$C$23,1)))</f>
        <v/>
      </c>
    </row>
    <row r="176" customFormat="false" ht="15" hidden="false" customHeight="false" outlineLevel="0" collapsed="false">
      <c r="A176" s="4" t="str">
        <f aca="false">IF(TRIM(P6_Export!A176)="","",TRIM(P6_Export!A176))</f>
        <v/>
      </c>
      <c r="B176" s="4" t="str">
        <f aca="false">IF($A176="","",P6_Export!B176)</f>
        <v/>
      </c>
      <c r="C176" s="4" t="str">
        <f aca="false">IF($A176="","",SUBSTITUTE(SUBSTITUTE(TRIM(P6_Export!D176)," ",""),",",";"))</f>
        <v/>
      </c>
      <c r="D176" s="4" t="str">
        <f aca="false">IF($A176="","",IF(P6_Export!$C176=0,"deterministic","triangular"))</f>
        <v/>
      </c>
      <c r="E176" s="4" t="str">
        <f aca="false">IF($A176="","",IF($D176="deterministic",0,ROUND(P6_Export!$C176*說明!$C$22,1)))</f>
        <v/>
      </c>
      <c r="F176" s="4" t="str">
        <f aca="false">IF($A176="","",P6_Export!$C176)</f>
        <v/>
      </c>
      <c r="G176" s="4" t="str">
        <f aca="false">IF($A176="","",IF($D176="deterministic",0,ROUND(P6_Export!$C176*說明!$C$23,1)))</f>
        <v/>
      </c>
    </row>
    <row r="177" customFormat="false" ht="15" hidden="false" customHeight="false" outlineLevel="0" collapsed="false">
      <c r="A177" s="4" t="str">
        <f aca="false">IF(TRIM(P6_Export!A177)="","",TRIM(P6_Export!A177))</f>
        <v/>
      </c>
      <c r="B177" s="4" t="str">
        <f aca="false">IF($A177="","",P6_Export!B177)</f>
        <v/>
      </c>
      <c r="C177" s="4" t="str">
        <f aca="false">IF($A177="","",SUBSTITUTE(SUBSTITUTE(TRIM(P6_Export!D177)," ",""),",",";"))</f>
        <v/>
      </c>
      <c r="D177" s="4" t="str">
        <f aca="false">IF($A177="","",IF(P6_Export!$C177=0,"deterministic","triangular"))</f>
        <v/>
      </c>
      <c r="E177" s="4" t="str">
        <f aca="false">IF($A177="","",IF($D177="deterministic",0,ROUND(P6_Export!$C177*說明!$C$22,1)))</f>
        <v/>
      </c>
      <c r="F177" s="4" t="str">
        <f aca="false">IF($A177="","",P6_Export!$C177)</f>
        <v/>
      </c>
      <c r="G177" s="4" t="str">
        <f aca="false">IF($A177="","",IF($D177="deterministic",0,ROUND(P6_Export!$C177*說明!$C$23,1)))</f>
        <v/>
      </c>
    </row>
    <row r="178" customFormat="false" ht="15" hidden="false" customHeight="false" outlineLevel="0" collapsed="false">
      <c r="A178" s="4" t="str">
        <f aca="false">IF(TRIM(P6_Export!A178)="","",TRIM(P6_Export!A178))</f>
        <v/>
      </c>
      <c r="B178" s="4" t="str">
        <f aca="false">IF($A178="","",P6_Export!B178)</f>
        <v/>
      </c>
      <c r="C178" s="4" t="str">
        <f aca="false">IF($A178="","",SUBSTITUTE(SUBSTITUTE(TRIM(P6_Export!D178)," ",""),",",";"))</f>
        <v/>
      </c>
      <c r="D178" s="4" t="str">
        <f aca="false">IF($A178="","",IF(P6_Export!$C178=0,"deterministic","triangular"))</f>
        <v/>
      </c>
      <c r="E178" s="4" t="str">
        <f aca="false">IF($A178="","",IF($D178="deterministic",0,ROUND(P6_Export!$C178*說明!$C$22,1)))</f>
        <v/>
      </c>
      <c r="F178" s="4" t="str">
        <f aca="false">IF($A178="","",P6_Export!$C178)</f>
        <v/>
      </c>
      <c r="G178" s="4" t="str">
        <f aca="false">IF($A178="","",IF($D178="deterministic",0,ROUND(P6_Export!$C178*說明!$C$23,1)))</f>
        <v/>
      </c>
    </row>
    <row r="179" customFormat="false" ht="15" hidden="false" customHeight="false" outlineLevel="0" collapsed="false">
      <c r="A179" s="4" t="str">
        <f aca="false">IF(TRIM(P6_Export!A179)="","",TRIM(P6_Export!A179))</f>
        <v/>
      </c>
      <c r="B179" s="4" t="str">
        <f aca="false">IF($A179="","",P6_Export!B179)</f>
        <v/>
      </c>
      <c r="C179" s="4" t="str">
        <f aca="false">IF($A179="","",SUBSTITUTE(SUBSTITUTE(TRIM(P6_Export!D179)," ",""),",",";"))</f>
        <v/>
      </c>
      <c r="D179" s="4" t="str">
        <f aca="false">IF($A179="","",IF(P6_Export!$C179=0,"deterministic","triangular"))</f>
        <v/>
      </c>
      <c r="E179" s="4" t="str">
        <f aca="false">IF($A179="","",IF($D179="deterministic",0,ROUND(P6_Export!$C179*說明!$C$22,1)))</f>
        <v/>
      </c>
      <c r="F179" s="4" t="str">
        <f aca="false">IF($A179="","",P6_Export!$C179)</f>
        <v/>
      </c>
      <c r="G179" s="4" t="str">
        <f aca="false">IF($A179="","",IF($D179="deterministic",0,ROUND(P6_Export!$C179*說明!$C$23,1)))</f>
        <v/>
      </c>
    </row>
    <row r="180" customFormat="false" ht="15" hidden="false" customHeight="false" outlineLevel="0" collapsed="false">
      <c r="A180" s="4" t="str">
        <f aca="false">IF(TRIM(P6_Export!A180)="","",TRIM(P6_Export!A180))</f>
        <v/>
      </c>
      <c r="B180" s="4" t="str">
        <f aca="false">IF($A180="","",P6_Export!B180)</f>
        <v/>
      </c>
      <c r="C180" s="4" t="str">
        <f aca="false">IF($A180="","",SUBSTITUTE(SUBSTITUTE(TRIM(P6_Export!D180)," ",""),",",";"))</f>
        <v/>
      </c>
      <c r="D180" s="4" t="str">
        <f aca="false">IF($A180="","",IF(P6_Export!$C180=0,"deterministic","triangular"))</f>
        <v/>
      </c>
      <c r="E180" s="4" t="str">
        <f aca="false">IF($A180="","",IF($D180="deterministic",0,ROUND(P6_Export!$C180*說明!$C$22,1)))</f>
        <v/>
      </c>
      <c r="F180" s="4" t="str">
        <f aca="false">IF($A180="","",P6_Export!$C180)</f>
        <v/>
      </c>
      <c r="G180" s="4" t="str">
        <f aca="false">IF($A180="","",IF($D180="deterministic",0,ROUND(P6_Export!$C180*說明!$C$23,1)))</f>
        <v/>
      </c>
    </row>
    <row r="181" customFormat="false" ht="15" hidden="false" customHeight="false" outlineLevel="0" collapsed="false">
      <c r="A181" s="4" t="str">
        <f aca="false">IF(TRIM(P6_Export!A181)="","",TRIM(P6_Export!A181))</f>
        <v/>
      </c>
      <c r="B181" s="4" t="str">
        <f aca="false">IF($A181="","",P6_Export!B181)</f>
        <v/>
      </c>
      <c r="C181" s="4" t="str">
        <f aca="false">IF($A181="","",SUBSTITUTE(SUBSTITUTE(TRIM(P6_Export!D181)," ",""),",",";"))</f>
        <v/>
      </c>
      <c r="D181" s="4" t="str">
        <f aca="false">IF($A181="","",IF(P6_Export!$C181=0,"deterministic","triangular"))</f>
        <v/>
      </c>
      <c r="E181" s="4" t="str">
        <f aca="false">IF($A181="","",IF($D181="deterministic",0,ROUND(P6_Export!$C181*說明!$C$22,1)))</f>
        <v/>
      </c>
      <c r="F181" s="4" t="str">
        <f aca="false">IF($A181="","",P6_Export!$C181)</f>
        <v/>
      </c>
      <c r="G181" s="4" t="str">
        <f aca="false">IF($A181="","",IF($D181="deterministic",0,ROUND(P6_Export!$C181*說明!$C$23,1)))</f>
        <v/>
      </c>
    </row>
    <row r="182" customFormat="false" ht="15" hidden="false" customHeight="false" outlineLevel="0" collapsed="false">
      <c r="A182" s="4" t="str">
        <f aca="false">IF(TRIM(P6_Export!A182)="","",TRIM(P6_Export!A182))</f>
        <v/>
      </c>
      <c r="B182" s="4" t="str">
        <f aca="false">IF($A182="","",P6_Export!B182)</f>
        <v/>
      </c>
      <c r="C182" s="4" t="str">
        <f aca="false">IF($A182="","",SUBSTITUTE(SUBSTITUTE(TRIM(P6_Export!D182)," ",""),",",";"))</f>
        <v/>
      </c>
      <c r="D182" s="4" t="str">
        <f aca="false">IF($A182="","",IF(P6_Export!$C182=0,"deterministic","triangular"))</f>
        <v/>
      </c>
      <c r="E182" s="4" t="str">
        <f aca="false">IF($A182="","",IF($D182="deterministic",0,ROUND(P6_Export!$C182*說明!$C$22,1)))</f>
        <v/>
      </c>
      <c r="F182" s="4" t="str">
        <f aca="false">IF($A182="","",P6_Export!$C182)</f>
        <v/>
      </c>
      <c r="G182" s="4" t="str">
        <f aca="false">IF($A182="","",IF($D182="deterministic",0,ROUND(P6_Export!$C182*說明!$C$23,1)))</f>
        <v/>
      </c>
    </row>
    <row r="183" customFormat="false" ht="15" hidden="false" customHeight="false" outlineLevel="0" collapsed="false">
      <c r="A183" s="4" t="str">
        <f aca="false">IF(TRIM(P6_Export!A183)="","",TRIM(P6_Export!A183))</f>
        <v/>
      </c>
      <c r="B183" s="4" t="str">
        <f aca="false">IF($A183="","",P6_Export!B183)</f>
        <v/>
      </c>
      <c r="C183" s="4" t="str">
        <f aca="false">IF($A183="","",SUBSTITUTE(SUBSTITUTE(TRIM(P6_Export!D183)," ",""),",",";"))</f>
        <v/>
      </c>
      <c r="D183" s="4" t="str">
        <f aca="false">IF($A183="","",IF(P6_Export!$C183=0,"deterministic","triangular"))</f>
        <v/>
      </c>
      <c r="E183" s="4" t="str">
        <f aca="false">IF($A183="","",IF($D183="deterministic",0,ROUND(P6_Export!$C183*說明!$C$22,1)))</f>
        <v/>
      </c>
      <c r="F183" s="4" t="str">
        <f aca="false">IF($A183="","",P6_Export!$C183)</f>
        <v/>
      </c>
      <c r="G183" s="4" t="str">
        <f aca="false">IF($A183="","",IF($D183="deterministic",0,ROUND(P6_Export!$C183*說明!$C$23,1)))</f>
        <v/>
      </c>
    </row>
    <row r="184" customFormat="false" ht="15" hidden="false" customHeight="false" outlineLevel="0" collapsed="false">
      <c r="A184" s="4" t="str">
        <f aca="false">IF(TRIM(P6_Export!A184)="","",TRIM(P6_Export!A184))</f>
        <v/>
      </c>
      <c r="B184" s="4" t="str">
        <f aca="false">IF($A184="","",P6_Export!B184)</f>
        <v/>
      </c>
      <c r="C184" s="4" t="str">
        <f aca="false">IF($A184="","",SUBSTITUTE(SUBSTITUTE(TRIM(P6_Export!D184)," ",""),",",";"))</f>
        <v/>
      </c>
      <c r="D184" s="4" t="str">
        <f aca="false">IF($A184="","",IF(P6_Export!$C184=0,"deterministic","triangular"))</f>
        <v/>
      </c>
      <c r="E184" s="4" t="str">
        <f aca="false">IF($A184="","",IF($D184="deterministic",0,ROUND(P6_Export!$C184*說明!$C$22,1)))</f>
        <v/>
      </c>
      <c r="F184" s="4" t="str">
        <f aca="false">IF($A184="","",P6_Export!$C184)</f>
        <v/>
      </c>
      <c r="G184" s="4" t="str">
        <f aca="false">IF($A184="","",IF($D184="deterministic",0,ROUND(P6_Export!$C184*說明!$C$23,1)))</f>
        <v/>
      </c>
    </row>
    <row r="185" customFormat="false" ht="15" hidden="false" customHeight="false" outlineLevel="0" collapsed="false">
      <c r="A185" s="4" t="str">
        <f aca="false">IF(TRIM(P6_Export!A185)="","",TRIM(P6_Export!A185))</f>
        <v/>
      </c>
      <c r="B185" s="4" t="str">
        <f aca="false">IF($A185="","",P6_Export!B185)</f>
        <v/>
      </c>
      <c r="C185" s="4" t="str">
        <f aca="false">IF($A185="","",SUBSTITUTE(SUBSTITUTE(TRIM(P6_Export!D185)," ",""),",",";"))</f>
        <v/>
      </c>
      <c r="D185" s="4" t="str">
        <f aca="false">IF($A185="","",IF(P6_Export!$C185=0,"deterministic","triangular"))</f>
        <v/>
      </c>
      <c r="E185" s="4" t="str">
        <f aca="false">IF($A185="","",IF($D185="deterministic",0,ROUND(P6_Export!$C185*說明!$C$22,1)))</f>
        <v/>
      </c>
      <c r="F185" s="4" t="str">
        <f aca="false">IF($A185="","",P6_Export!$C185)</f>
        <v/>
      </c>
      <c r="G185" s="4" t="str">
        <f aca="false">IF($A185="","",IF($D185="deterministic",0,ROUND(P6_Export!$C185*說明!$C$23,1)))</f>
        <v/>
      </c>
    </row>
    <row r="186" customFormat="false" ht="15" hidden="false" customHeight="false" outlineLevel="0" collapsed="false">
      <c r="A186" s="4" t="str">
        <f aca="false">IF(TRIM(P6_Export!A186)="","",TRIM(P6_Export!A186))</f>
        <v/>
      </c>
      <c r="B186" s="4" t="str">
        <f aca="false">IF($A186="","",P6_Export!B186)</f>
        <v/>
      </c>
      <c r="C186" s="4" t="str">
        <f aca="false">IF($A186="","",SUBSTITUTE(SUBSTITUTE(TRIM(P6_Export!D186)," ",""),",",";"))</f>
        <v/>
      </c>
      <c r="D186" s="4" t="str">
        <f aca="false">IF($A186="","",IF(P6_Export!$C186=0,"deterministic","triangular"))</f>
        <v/>
      </c>
      <c r="E186" s="4" t="str">
        <f aca="false">IF($A186="","",IF($D186="deterministic",0,ROUND(P6_Export!$C186*說明!$C$22,1)))</f>
        <v/>
      </c>
      <c r="F186" s="4" t="str">
        <f aca="false">IF($A186="","",P6_Export!$C186)</f>
        <v/>
      </c>
      <c r="G186" s="4" t="str">
        <f aca="false">IF($A186="","",IF($D186="deterministic",0,ROUND(P6_Export!$C186*說明!$C$23,1)))</f>
        <v/>
      </c>
    </row>
    <row r="187" customFormat="false" ht="15" hidden="false" customHeight="false" outlineLevel="0" collapsed="false">
      <c r="A187" s="4" t="str">
        <f aca="false">IF(TRIM(P6_Export!A187)="","",TRIM(P6_Export!A187))</f>
        <v/>
      </c>
      <c r="B187" s="4" t="str">
        <f aca="false">IF($A187="","",P6_Export!B187)</f>
        <v/>
      </c>
      <c r="C187" s="4" t="str">
        <f aca="false">IF($A187="","",SUBSTITUTE(SUBSTITUTE(TRIM(P6_Export!D187)," ",""),",",";"))</f>
        <v/>
      </c>
      <c r="D187" s="4" t="str">
        <f aca="false">IF($A187="","",IF(P6_Export!$C187=0,"deterministic","triangular"))</f>
        <v/>
      </c>
      <c r="E187" s="4" t="str">
        <f aca="false">IF($A187="","",IF($D187="deterministic",0,ROUND(P6_Export!$C187*說明!$C$22,1)))</f>
        <v/>
      </c>
      <c r="F187" s="4" t="str">
        <f aca="false">IF($A187="","",P6_Export!$C187)</f>
        <v/>
      </c>
      <c r="G187" s="4" t="str">
        <f aca="false">IF($A187="","",IF($D187="deterministic",0,ROUND(P6_Export!$C187*說明!$C$23,1)))</f>
        <v/>
      </c>
    </row>
    <row r="188" customFormat="false" ht="15" hidden="false" customHeight="false" outlineLevel="0" collapsed="false">
      <c r="A188" s="4" t="str">
        <f aca="false">IF(TRIM(P6_Export!A188)="","",TRIM(P6_Export!A188))</f>
        <v/>
      </c>
      <c r="B188" s="4" t="str">
        <f aca="false">IF($A188="","",P6_Export!B188)</f>
        <v/>
      </c>
      <c r="C188" s="4" t="str">
        <f aca="false">IF($A188="","",SUBSTITUTE(SUBSTITUTE(TRIM(P6_Export!D188)," ",""),",",";"))</f>
        <v/>
      </c>
      <c r="D188" s="4" t="str">
        <f aca="false">IF($A188="","",IF(P6_Export!$C188=0,"deterministic","triangular"))</f>
        <v/>
      </c>
      <c r="E188" s="4" t="str">
        <f aca="false">IF($A188="","",IF($D188="deterministic",0,ROUND(P6_Export!$C188*說明!$C$22,1)))</f>
        <v/>
      </c>
      <c r="F188" s="4" t="str">
        <f aca="false">IF($A188="","",P6_Export!$C188)</f>
        <v/>
      </c>
      <c r="G188" s="4" t="str">
        <f aca="false">IF($A188="","",IF($D188="deterministic",0,ROUND(P6_Export!$C188*說明!$C$23,1)))</f>
        <v/>
      </c>
    </row>
    <row r="189" customFormat="false" ht="15" hidden="false" customHeight="false" outlineLevel="0" collapsed="false">
      <c r="A189" s="4" t="str">
        <f aca="false">IF(TRIM(P6_Export!A189)="","",TRIM(P6_Export!A189))</f>
        <v/>
      </c>
      <c r="B189" s="4" t="str">
        <f aca="false">IF($A189="","",P6_Export!B189)</f>
        <v/>
      </c>
      <c r="C189" s="4" t="str">
        <f aca="false">IF($A189="","",SUBSTITUTE(SUBSTITUTE(TRIM(P6_Export!D189)," ",""),",",";"))</f>
        <v/>
      </c>
      <c r="D189" s="4" t="str">
        <f aca="false">IF($A189="","",IF(P6_Export!$C189=0,"deterministic","triangular"))</f>
        <v/>
      </c>
      <c r="E189" s="4" t="str">
        <f aca="false">IF($A189="","",IF($D189="deterministic",0,ROUND(P6_Export!$C189*說明!$C$22,1)))</f>
        <v/>
      </c>
      <c r="F189" s="4" t="str">
        <f aca="false">IF($A189="","",P6_Export!$C189)</f>
        <v/>
      </c>
      <c r="G189" s="4" t="str">
        <f aca="false">IF($A189="","",IF($D189="deterministic",0,ROUND(P6_Export!$C189*說明!$C$23,1)))</f>
        <v/>
      </c>
    </row>
    <row r="190" customFormat="false" ht="15" hidden="false" customHeight="false" outlineLevel="0" collapsed="false">
      <c r="A190" s="4" t="str">
        <f aca="false">IF(TRIM(P6_Export!A190)="","",TRIM(P6_Export!A190))</f>
        <v/>
      </c>
      <c r="B190" s="4" t="str">
        <f aca="false">IF($A190="","",P6_Export!B190)</f>
        <v/>
      </c>
      <c r="C190" s="4" t="str">
        <f aca="false">IF($A190="","",SUBSTITUTE(SUBSTITUTE(TRIM(P6_Export!D190)," ",""),",",";"))</f>
        <v/>
      </c>
      <c r="D190" s="4" t="str">
        <f aca="false">IF($A190="","",IF(P6_Export!$C190=0,"deterministic","triangular"))</f>
        <v/>
      </c>
      <c r="E190" s="4" t="str">
        <f aca="false">IF($A190="","",IF($D190="deterministic",0,ROUND(P6_Export!$C190*說明!$C$22,1)))</f>
        <v/>
      </c>
      <c r="F190" s="4" t="str">
        <f aca="false">IF($A190="","",P6_Export!$C190)</f>
        <v/>
      </c>
      <c r="G190" s="4" t="str">
        <f aca="false">IF($A190="","",IF($D190="deterministic",0,ROUND(P6_Export!$C190*說明!$C$23,1)))</f>
        <v/>
      </c>
    </row>
    <row r="191" customFormat="false" ht="15" hidden="false" customHeight="false" outlineLevel="0" collapsed="false">
      <c r="A191" s="4" t="str">
        <f aca="false">IF(TRIM(P6_Export!A191)="","",TRIM(P6_Export!A191))</f>
        <v/>
      </c>
      <c r="B191" s="4" t="str">
        <f aca="false">IF($A191="","",P6_Export!B191)</f>
        <v/>
      </c>
      <c r="C191" s="4" t="str">
        <f aca="false">IF($A191="","",SUBSTITUTE(SUBSTITUTE(TRIM(P6_Export!D191)," ",""),",",";"))</f>
        <v/>
      </c>
      <c r="D191" s="4" t="str">
        <f aca="false">IF($A191="","",IF(P6_Export!$C191=0,"deterministic","triangular"))</f>
        <v/>
      </c>
      <c r="E191" s="4" t="str">
        <f aca="false">IF($A191="","",IF($D191="deterministic",0,ROUND(P6_Export!$C191*說明!$C$22,1)))</f>
        <v/>
      </c>
      <c r="F191" s="4" t="str">
        <f aca="false">IF($A191="","",P6_Export!$C191)</f>
        <v/>
      </c>
      <c r="G191" s="4" t="str">
        <f aca="false">IF($A191="","",IF($D191="deterministic",0,ROUND(P6_Export!$C191*說明!$C$23,1)))</f>
        <v/>
      </c>
    </row>
    <row r="192" customFormat="false" ht="15" hidden="false" customHeight="false" outlineLevel="0" collapsed="false">
      <c r="A192" s="4" t="str">
        <f aca="false">IF(TRIM(P6_Export!A192)="","",TRIM(P6_Export!A192))</f>
        <v/>
      </c>
      <c r="B192" s="4" t="str">
        <f aca="false">IF($A192="","",P6_Export!B192)</f>
        <v/>
      </c>
      <c r="C192" s="4" t="str">
        <f aca="false">IF($A192="","",SUBSTITUTE(SUBSTITUTE(TRIM(P6_Export!D192)," ",""),",",";"))</f>
        <v/>
      </c>
      <c r="D192" s="4" t="str">
        <f aca="false">IF($A192="","",IF(P6_Export!$C192=0,"deterministic","triangular"))</f>
        <v/>
      </c>
      <c r="E192" s="4" t="str">
        <f aca="false">IF($A192="","",IF($D192="deterministic",0,ROUND(P6_Export!$C192*說明!$C$22,1)))</f>
        <v/>
      </c>
      <c r="F192" s="4" t="str">
        <f aca="false">IF($A192="","",P6_Export!$C192)</f>
        <v/>
      </c>
      <c r="G192" s="4" t="str">
        <f aca="false">IF($A192="","",IF($D192="deterministic",0,ROUND(P6_Export!$C192*說明!$C$23,1)))</f>
        <v/>
      </c>
    </row>
    <row r="193" customFormat="false" ht="15" hidden="false" customHeight="false" outlineLevel="0" collapsed="false">
      <c r="A193" s="4" t="str">
        <f aca="false">IF(TRIM(P6_Export!A193)="","",TRIM(P6_Export!A193))</f>
        <v/>
      </c>
      <c r="B193" s="4" t="str">
        <f aca="false">IF($A193="","",P6_Export!B193)</f>
        <v/>
      </c>
      <c r="C193" s="4" t="str">
        <f aca="false">IF($A193="","",SUBSTITUTE(SUBSTITUTE(TRIM(P6_Export!D193)," ",""),",",";"))</f>
        <v/>
      </c>
      <c r="D193" s="4" t="str">
        <f aca="false">IF($A193="","",IF(P6_Export!$C193=0,"deterministic","triangular"))</f>
        <v/>
      </c>
      <c r="E193" s="4" t="str">
        <f aca="false">IF($A193="","",IF($D193="deterministic",0,ROUND(P6_Export!$C193*說明!$C$22,1)))</f>
        <v/>
      </c>
      <c r="F193" s="4" t="str">
        <f aca="false">IF($A193="","",P6_Export!$C193)</f>
        <v/>
      </c>
      <c r="G193" s="4" t="str">
        <f aca="false">IF($A193="","",IF($D193="deterministic",0,ROUND(P6_Export!$C193*說明!$C$23,1)))</f>
        <v/>
      </c>
    </row>
    <row r="194" customFormat="false" ht="15" hidden="false" customHeight="false" outlineLevel="0" collapsed="false">
      <c r="A194" s="4" t="str">
        <f aca="false">IF(TRIM(P6_Export!A194)="","",TRIM(P6_Export!A194))</f>
        <v/>
      </c>
      <c r="B194" s="4" t="str">
        <f aca="false">IF($A194="","",P6_Export!B194)</f>
        <v/>
      </c>
      <c r="C194" s="4" t="str">
        <f aca="false">IF($A194="","",SUBSTITUTE(SUBSTITUTE(TRIM(P6_Export!D194)," ",""),",",";"))</f>
        <v/>
      </c>
      <c r="D194" s="4" t="str">
        <f aca="false">IF($A194="","",IF(P6_Export!$C194=0,"deterministic","triangular"))</f>
        <v/>
      </c>
      <c r="E194" s="4" t="str">
        <f aca="false">IF($A194="","",IF($D194="deterministic",0,ROUND(P6_Export!$C194*說明!$C$22,1)))</f>
        <v/>
      </c>
      <c r="F194" s="4" t="str">
        <f aca="false">IF($A194="","",P6_Export!$C194)</f>
        <v/>
      </c>
      <c r="G194" s="4" t="str">
        <f aca="false">IF($A194="","",IF($D194="deterministic",0,ROUND(P6_Export!$C194*說明!$C$23,1)))</f>
        <v/>
      </c>
    </row>
    <row r="195" customFormat="false" ht="15" hidden="false" customHeight="false" outlineLevel="0" collapsed="false">
      <c r="A195" s="4" t="str">
        <f aca="false">IF(TRIM(P6_Export!A195)="","",TRIM(P6_Export!A195))</f>
        <v/>
      </c>
      <c r="B195" s="4" t="str">
        <f aca="false">IF($A195="","",P6_Export!B195)</f>
        <v/>
      </c>
      <c r="C195" s="4" t="str">
        <f aca="false">IF($A195="","",SUBSTITUTE(SUBSTITUTE(TRIM(P6_Export!D195)," ",""),",",";"))</f>
        <v/>
      </c>
      <c r="D195" s="4" t="str">
        <f aca="false">IF($A195="","",IF(P6_Export!$C195=0,"deterministic","triangular"))</f>
        <v/>
      </c>
      <c r="E195" s="4" t="str">
        <f aca="false">IF($A195="","",IF($D195="deterministic",0,ROUND(P6_Export!$C195*說明!$C$22,1)))</f>
        <v/>
      </c>
      <c r="F195" s="4" t="str">
        <f aca="false">IF($A195="","",P6_Export!$C195)</f>
        <v/>
      </c>
      <c r="G195" s="4" t="str">
        <f aca="false">IF($A195="","",IF($D195="deterministic",0,ROUND(P6_Export!$C195*說明!$C$23,1)))</f>
        <v/>
      </c>
    </row>
    <row r="196" customFormat="false" ht="15" hidden="false" customHeight="false" outlineLevel="0" collapsed="false">
      <c r="A196" s="4" t="str">
        <f aca="false">IF(TRIM(P6_Export!A196)="","",TRIM(P6_Export!A196))</f>
        <v/>
      </c>
      <c r="B196" s="4" t="str">
        <f aca="false">IF($A196="","",P6_Export!B196)</f>
        <v/>
      </c>
      <c r="C196" s="4" t="str">
        <f aca="false">IF($A196="","",SUBSTITUTE(SUBSTITUTE(TRIM(P6_Export!D196)," ",""),",",";"))</f>
        <v/>
      </c>
      <c r="D196" s="4" t="str">
        <f aca="false">IF($A196="","",IF(P6_Export!$C196=0,"deterministic","triangular"))</f>
        <v/>
      </c>
      <c r="E196" s="4" t="str">
        <f aca="false">IF($A196="","",IF($D196="deterministic",0,ROUND(P6_Export!$C196*說明!$C$22,1)))</f>
        <v/>
      </c>
      <c r="F196" s="4" t="str">
        <f aca="false">IF($A196="","",P6_Export!$C196)</f>
        <v/>
      </c>
      <c r="G196" s="4" t="str">
        <f aca="false">IF($A196="","",IF($D196="deterministic",0,ROUND(P6_Export!$C196*說明!$C$23,1)))</f>
        <v/>
      </c>
    </row>
    <row r="197" customFormat="false" ht="15" hidden="false" customHeight="false" outlineLevel="0" collapsed="false">
      <c r="A197" s="4" t="str">
        <f aca="false">IF(TRIM(P6_Export!A197)="","",TRIM(P6_Export!A197))</f>
        <v/>
      </c>
      <c r="B197" s="4" t="str">
        <f aca="false">IF($A197="","",P6_Export!B197)</f>
        <v/>
      </c>
      <c r="C197" s="4" t="str">
        <f aca="false">IF($A197="","",SUBSTITUTE(SUBSTITUTE(TRIM(P6_Export!D197)," ",""),",",";"))</f>
        <v/>
      </c>
      <c r="D197" s="4" t="str">
        <f aca="false">IF($A197="","",IF(P6_Export!$C197=0,"deterministic","triangular"))</f>
        <v/>
      </c>
      <c r="E197" s="4" t="str">
        <f aca="false">IF($A197="","",IF($D197="deterministic",0,ROUND(P6_Export!$C197*說明!$C$22,1)))</f>
        <v/>
      </c>
      <c r="F197" s="4" t="str">
        <f aca="false">IF($A197="","",P6_Export!$C197)</f>
        <v/>
      </c>
      <c r="G197" s="4" t="str">
        <f aca="false">IF($A197="","",IF($D197="deterministic",0,ROUND(P6_Export!$C197*說明!$C$23,1)))</f>
        <v/>
      </c>
    </row>
    <row r="198" customFormat="false" ht="15" hidden="false" customHeight="false" outlineLevel="0" collapsed="false">
      <c r="A198" s="4" t="str">
        <f aca="false">IF(TRIM(P6_Export!A198)="","",TRIM(P6_Export!A198))</f>
        <v/>
      </c>
      <c r="B198" s="4" t="str">
        <f aca="false">IF($A198="","",P6_Export!B198)</f>
        <v/>
      </c>
      <c r="C198" s="4" t="str">
        <f aca="false">IF($A198="","",SUBSTITUTE(SUBSTITUTE(TRIM(P6_Export!D198)," ",""),",",";"))</f>
        <v/>
      </c>
      <c r="D198" s="4" t="str">
        <f aca="false">IF($A198="","",IF(P6_Export!$C198=0,"deterministic","triangular"))</f>
        <v/>
      </c>
      <c r="E198" s="4" t="str">
        <f aca="false">IF($A198="","",IF($D198="deterministic",0,ROUND(P6_Export!$C198*說明!$C$22,1)))</f>
        <v/>
      </c>
      <c r="F198" s="4" t="str">
        <f aca="false">IF($A198="","",P6_Export!$C198)</f>
        <v/>
      </c>
      <c r="G198" s="4" t="str">
        <f aca="false">IF($A198="","",IF($D198="deterministic",0,ROUND(P6_Export!$C198*說明!$C$23,1)))</f>
        <v/>
      </c>
    </row>
    <row r="199" customFormat="false" ht="15" hidden="false" customHeight="false" outlineLevel="0" collapsed="false">
      <c r="A199" s="4" t="str">
        <f aca="false">IF(TRIM(P6_Export!A199)="","",TRIM(P6_Export!A199))</f>
        <v/>
      </c>
      <c r="B199" s="4" t="str">
        <f aca="false">IF($A199="","",P6_Export!B199)</f>
        <v/>
      </c>
      <c r="C199" s="4" t="str">
        <f aca="false">IF($A199="","",SUBSTITUTE(SUBSTITUTE(TRIM(P6_Export!D199)," ",""),",",";"))</f>
        <v/>
      </c>
      <c r="D199" s="4" t="str">
        <f aca="false">IF($A199="","",IF(P6_Export!$C199=0,"deterministic","triangular"))</f>
        <v/>
      </c>
      <c r="E199" s="4" t="str">
        <f aca="false">IF($A199="","",IF($D199="deterministic",0,ROUND(P6_Export!$C199*說明!$C$22,1)))</f>
        <v/>
      </c>
      <c r="F199" s="4" t="str">
        <f aca="false">IF($A199="","",P6_Export!$C199)</f>
        <v/>
      </c>
      <c r="G199" s="4" t="str">
        <f aca="false">IF($A199="","",IF($D199="deterministic",0,ROUND(P6_Export!$C199*說明!$C$23,1)))</f>
        <v/>
      </c>
    </row>
    <row r="200" customFormat="false" ht="15" hidden="false" customHeight="false" outlineLevel="0" collapsed="false">
      <c r="A200" s="4" t="str">
        <f aca="false">IF(TRIM(P6_Export!A200)="","",TRIM(P6_Export!A200))</f>
        <v/>
      </c>
      <c r="B200" s="4" t="str">
        <f aca="false">IF($A200="","",P6_Export!B200)</f>
        <v/>
      </c>
      <c r="C200" s="4" t="str">
        <f aca="false">IF($A200="","",SUBSTITUTE(SUBSTITUTE(TRIM(P6_Export!D200)," ",""),",",";"))</f>
        <v/>
      </c>
      <c r="D200" s="4" t="str">
        <f aca="false">IF($A200="","",IF(P6_Export!$C200=0,"deterministic","triangular"))</f>
        <v/>
      </c>
      <c r="E200" s="4" t="str">
        <f aca="false">IF($A200="","",IF($D200="deterministic",0,ROUND(P6_Export!$C200*說明!$C$22,1)))</f>
        <v/>
      </c>
      <c r="F200" s="4" t="str">
        <f aca="false">IF($A200="","",P6_Export!$C200)</f>
        <v/>
      </c>
      <c r="G200" s="4" t="str">
        <f aca="false">IF($A200="","",IF($D200="deterministic",0,ROUND(P6_Export!$C200*說明!$C$23,1)))</f>
        <v/>
      </c>
    </row>
    <row r="201" customFormat="false" ht="15" hidden="false" customHeight="false" outlineLevel="0" collapsed="false">
      <c r="A201" s="4" t="str">
        <f aca="false">IF(TRIM(P6_Export!A201)="","",TRIM(P6_Export!A201))</f>
        <v/>
      </c>
      <c r="B201" s="4" t="str">
        <f aca="false">IF($A201="","",P6_Export!B201)</f>
        <v/>
      </c>
      <c r="C201" s="4" t="str">
        <f aca="false">IF($A201="","",SUBSTITUTE(SUBSTITUTE(TRIM(P6_Export!D201)," ",""),",",";"))</f>
        <v/>
      </c>
      <c r="D201" s="4" t="str">
        <f aca="false">IF($A201="","",IF(P6_Export!$C201=0,"deterministic","triangular"))</f>
        <v/>
      </c>
      <c r="E201" s="4" t="str">
        <f aca="false">IF($A201="","",IF($D201="deterministic",0,ROUND(P6_Export!$C201*說明!$C$22,1)))</f>
        <v/>
      </c>
      <c r="F201" s="4" t="str">
        <f aca="false">IF($A201="","",P6_Export!$C201)</f>
        <v/>
      </c>
      <c r="G201" s="4" t="str">
        <f aca="false">IF($A201="","",IF($D201="deterministic",0,ROUND(P6_Export!$C201*說明!$C$23,1)))</f>
        <v/>
      </c>
    </row>
    <row r="202" customFormat="false" ht="15" hidden="false" customHeight="false" outlineLevel="0" collapsed="false">
      <c r="A202" s="4" t="str">
        <f aca="false">IF(TRIM(P6_Export!A202)="","",TRIM(P6_Export!A202))</f>
        <v/>
      </c>
      <c r="B202" s="4" t="str">
        <f aca="false">IF($A202="","",P6_Export!B202)</f>
        <v/>
      </c>
      <c r="C202" s="4" t="str">
        <f aca="false">IF($A202="","",SUBSTITUTE(SUBSTITUTE(TRIM(P6_Export!D202)," ",""),",",";"))</f>
        <v/>
      </c>
      <c r="D202" s="4" t="str">
        <f aca="false">IF($A202="","",IF(P6_Export!$C202=0,"deterministic","triangular"))</f>
        <v/>
      </c>
      <c r="E202" s="4" t="str">
        <f aca="false">IF($A202="","",IF($D202="deterministic",0,ROUND(P6_Export!$C202*說明!$C$22,1)))</f>
        <v/>
      </c>
      <c r="F202" s="4" t="str">
        <f aca="false">IF($A202="","",P6_Export!$C202)</f>
        <v/>
      </c>
      <c r="G202" s="4" t="str">
        <f aca="false">IF($A202="","",IF($D202="deterministic",0,ROUND(P6_Export!$C202*說明!$C$23,1)))</f>
        <v/>
      </c>
    </row>
    <row r="203" customFormat="false" ht="15" hidden="false" customHeight="false" outlineLevel="0" collapsed="false">
      <c r="A203" s="4" t="str">
        <f aca="false">IF(TRIM(P6_Export!A203)="","",TRIM(P6_Export!A203))</f>
        <v/>
      </c>
      <c r="B203" s="4" t="str">
        <f aca="false">IF($A203="","",P6_Export!B203)</f>
        <v/>
      </c>
      <c r="C203" s="4" t="str">
        <f aca="false">IF($A203="","",SUBSTITUTE(SUBSTITUTE(TRIM(P6_Export!D203)," ",""),",",";"))</f>
        <v/>
      </c>
      <c r="D203" s="4" t="str">
        <f aca="false">IF($A203="","",IF(P6_Export!$C203=0,"deterministic","triangular"))</f>
        <v/>
      </c>
      <c r="E203" s="4" t="str">
        <f aca="false">IF($A203="","",IF($D203="deterministic",0,ROUND(P6_Export!$C203*說明!$C$22,1)))</f>
        <v/>
      </c>
      <c r="F203" s="4" t="str">
        <f aca="false">IF($A203="","",P6_Export!$C203)</f>
        <v/>
      </c>
      <c r="G203" s="4" t="str">
        <f aca="false">IF($A203="","",IF($D203="deterministic",0,ROUND(P6_Export!$C203*說明!$C$23,1)))</f>
        <v/>
      </c>
    </row>
    <row r="204" customFormat="false" ht="15" hidden="false" customHeight="false" outlineLevel="0" collapsed="false">
      <c r="A204" s="4" t="str">
        <f aca="false">IF(TRIM(P6_Export!A204)="","",TRIM(P6_Export!A204))</f>
        <v/>
      </c>
      <c r="B204" s="4" t="str">
        <f aca="false">IF($A204="","",P6_Export!B204)</f>
        <v/>
      </c>
      <c r="C204" s="4" t="str">
        <f aca="false">IF($A204="","",SUBSTITUTE(SUBSTITUTE(TRIM(P6_Export!D204)," ",""),",",";"))</f>
        <v/>
      </c>
      <c r="D204" s="4" t="str">
        <f aca="false">IF($A204="","",IF(P6_Export!$C204=0,"deterministic","triangular"))</f>
        <v/>
      </c>
      <c r="E204" s="4" t="str">
        <f aca="false">IF($A204="","",IF($D204="deterministic",0,ROUND(P6_Export!$C204*說明!$C$22,1)))</f>
        <v/>
      </c>
      <c r="F204" s="4" t="str">
        <f aca="false">IF($A204="","",P6_Export!$C204)</f>
        <v/>
      </c>
      <c r="G204" s="4" t="str">
        <f aca="false">IF($A204="","",IF($D204="deterministic",0,ROUND(P6_Export!$C204*說明!$C$23,1)))</f>
        <v/>
      </c>
    </row>
    <row r="205" customFormat="false" ht="15" hidden="false" customHeight="false" outlineLevel="0" collapsed="false">
      <c r="A205" s="4" t="str">
        <f aca="false">IF(TRIM(P6_Export!A205)="","",TRIM(P6_Export!A205))</f>
        <v/>
      </c>
      <c r="B205" s="4" t="str">
        <f aca="false">IF($A205="","",P6_Export!B205)</f>
        <v/>
      </c>
      <c r="C205" s="4" t="str">
        <f aca="false">IF($A205="","",SUBSTITUTE(SUBSTITUTE(TRIM(P6_Export!D205)," ",""),",",";"))</f>
        <v/>
      </c>
      <c r="D205" s="4" t="str">
        <f aca="false">IF($A205="","",IF(P6_Export!$C205=0,"deterministic","triangular"))</f>
        <v/>
      </c>
      <c r="E205" s="4" t="str">
        <f aca="false">IF($A205="","",IF($D205="deterministic",0,ROUND(P6_Export!$C205*說明!$C$22,1)))</f>
        <v/>
      </c>
      <c r="F205" s="4" t="str">
        <f aca="false">IF($A205="","",P6_Export!$C205)</f>
        <v/>
      </c>
      <c r="G205" s="4" t="str">
        <f aca="false">IF($A205="","",IF($D205="deterministic",0,ROUND(P6_Export!$C205*說明!$C$23,1)))</f>
        <v/>
      </c>
    </row>
    <row r="206" customFormat="false" ht="15" hidden="false" customHeight="false" outlineLevel="0" collapsed="false">
      <c r="A206" s="4" t="str">
        <f aca="false">IF(TRIM(P6_Export!A206)="","",TRIM(P6_Export!A206))</f>
        <v/>
      </c>
      <c r="B206" s="4" t="str">
        <f aca="false">IF($A206="","",P6_Export!B206)</f>
        <v/>
      </c>
      <c r="C206" s="4" t="str">
        <f aca="false">IF($A206="","",SUBSTITUTE(SUBSTITUTE(TRIM(P6_Export!D206)," ",""),",",";"))</f>
        <v/>
      </c>
      <c r="D206" s="4" t="str">
        <f aca="false">IF($A206="","",IF(P6_Export!$C206=0,"deterministic","triangular"))</f>
        <v/>
      </c>
      <c r="E206" s="4" t="str">
        <f aca="false">IF($A206="","",IF($D206="deterministic",0,ROUND(P6_Export!$C206*說明!$C$22,1)))</f>
        <v/>
      </c>
      <c r="F206" s="4" t="str">
        <f aca="false">IF($A206="","",P6_Export!$C206)</f>
        <v/>
      </c>
      <c r="G206" s="4" t="str">
        <f aca="false">IF($A206="","",IF($D206="deterministic",0,ROUND(P6_Export!$C206*說明!$C$23,1)))</f>
        <v/>
      </c>
    </row>
    <row r="207" customFormat="false" ht="15" hidden="false" customHeight="false" outlineLevel="0" collapsed="false">
      <c r="A207" s="4" t="str">
        <f aca="false">IF(TRIM(P6_Export!A207)="","",TRIM(P6_Export!A207))</f>
        <v/>
      </c>
      <c r="B207" s="4" t="str">
        <f aca="false">IF($A207="","",P6_Export!B207)</f>
        <v/>
      </c>
      <c r="C207" s="4" t="str">
        <f aca="false">IF($A207="","",SUBSTITUTE(SUBSTITUTE(TRIM(P6_Export!D207)," ",""),",",";"))</f>
        <v/>
      </c>
      <c r="D207" s="4" t="str">
        <f aca="false">IF($A207="","",IF(P6_Export!$C207=0,"deterministic","triangular"))</f>
        <v/>
      </c>
      <c r="E207" s="4" t="str">
        <f aca="false">IF($A207="","",IF($D207="deterministic",0,ROUND(P6_Export!$C207*說明!$C$22,1)))</f>
        <v/>
      </c>
      <c r="F207" s="4" t="str">
        <f aca="false">IF($A207="","",P6_Export!$C207)</f>
        <v/>
      </c>
      <c r="G207" s="4" t="str">
        <f aca="false">IF($A207="","",IF($D207="deterministic",0,ROUND(P6_Export!$C207*說明!$C$23,1)))</f>
        <v/>
      </c>
    </row>
    <row r="208" customFormat="false" ht="15" hidden="false" customHeight="false" outlineLevel="0" collapsed="false">
      <c r="A208" s="4" t="str">
        <f aca="false">IF(TRIM(P6_Export!A208)="","",TRIM(P6_Export!A208))</f>
        <v/>
      </c>
      <c r="B208" s="4" t="str">
        <f aca="false">IF($A208="","",P6_Export!B208)</f>
        <v/>
      </c>
      <c r="C208" s="4" t="str">
        <f aca="false">IF($A208="","",SUBSTITUTE(SUBSTITUTE(TRIM(P6_Export!D208)," ",""),",",";"))</f>
        <v/>
      </c>
      <c r="D208" s="4" t="str">
        <f aca="false">IF($A208="","",IF(P6_Export!$C208=0,"deterministic","triangular"))</f>
        <v/>
      </c>
      <c r="E208" s="4" t="str">
        <f aca="false">IF($A208="","",IF($D208="deterministic",0,ROUND(P6_Export!$C208*說明!$C$22,1)))</f>
        <v/>
      </c>
      <c r="F208" s="4" t="str">
        <f aca="false">IF($A208="","",P6_Export!$C208)</f>
        <v/>
      </c>
      <c r="G208" s="4" t="str">
        <f aca="false">IF($A208="","",IF($D208="deterministic",0,ROUND(P6_Export!$C208*說明!$C$23,1)))</f>
        <v/>
      </c>
    </row>
    <row r="209" customFormat="false" ht="15" hidden="false" customHeight="false" outlineLevel="0" collapsed="false">
      <c r="A209" s="4" t="str">
        <f aca="false">IF(TRIM(P6_Export!A209)="","",TRIM(P6_Export!A209))</f>
        <v/>
      </c>
      <c r="B209" s="4" t="str">
        <f aca="false">IF($A209="","",P6_Export!B209)</f>
        <v/>
      </c>
      <c r="C209" s="4" t="str">
        <f aca="false">IF($A209="","",SUBSTITUTE(SUBSTITUTE(TRIM(P6_Export!D209)," ",""),",",";"))</f>
        <v/>
      </c>
      <c r="D209" s="4" t="str">
        <f aca="false">IF($A209="","",IF(P6_Export!$C209=0,"deterministic","triangular"))</f>
        <v/>
      </c>
      <c r="E209" s="4" t="str">
        <f aca="false">IF($A209="","",IF($D209="deterministic",0,ROUND(P6_Export!$C209*說明!$C$22,1)))</f>
        <v/>
      </c>
      <c r="F209" s="4" t="str">
        <f aca="false">IF($A209="","",P6_Export!$C209)</f>
        <v/>
      </c>
      <c r="G209" s="4" t="str">
        <f aca="false">IF($A209="","",IF($D209="deterministic",0,ROUND(P6_Export!$C209*說明!$C$23,1)))</f>
        <v/>
      </c>
    </row>
    <row r="210" customFormat="false" ht="15" hidden="false" customHeight="false" outlineLevel="0" collapsed="false">
      <c r="A210" s="4" t="str">
        <f aca="false">IF(TRIM(P6_Export!A210)="","",TRIM(P6_Export!A210))</f>
        <v/>
      </c>
      <c r="B210" s="4" t="str">
        <f aca="false">IF($A210="","",P6_Export!B210)</f>
        <v/>
      </c>
      <c r="C210" s="4" t="str">
        <f aca="false">IF($A210="","",SUBSTITUTE(SUBSTITUTE(TRIM(P6_Export!D210)," ",""),",",";"))</f>
        <v/>
      </c>
      <c r="D210" s="4" t="str">
        <f aca="false">IF($A210="","",IF(P6_Export!$C210=0,"deterministic","triangular"))</f>
        <v/>
      </c>
      <c r="E210" s="4" t="str">
        <f aca="false">IF($A210="","",IF($D210="deterministic",0,ROUND(P6_Export!$C210*說明!$C$22,1)))</f>
        <v/>
      </c>
      <c r="F210" s="4" t="str">
        <f aca="false">IF($A210="","",P6_Export!$C210)</f>
        <v/>
      </c>
      <c r="G210" s="4" t="str">
        <f aca="false">IF($A210="","",IF($D210="deterministic",0,ROUND(P6_Export!$C210*說明!$C$23,1)))</f>
        <v/>
      </c>
    </row>
    <row r="211" customFormat="false" ht="15" hidden="false" customHeight="false" outlineLevel="0" collapsed="false">
      <c r="A211" s="4" t="str">
        <f aca="false">IF(TRIM(P6_Export!A211)="","",TRIM(P6_Export!A211))</f>
        <v/>
      </c>
      <c r="B211" s="4" t="str">
        <f aca="false">IF($A211="","",P6_Export!B211)</f>
        <v/>
      </c>
      <c r="C211" s="4" t="str">
        <f aca="false">IF($A211="","",SUBSTITUTE(SUBSTITUTE(TRIM(P6_Export!D211)," ",""),",",";"))</f>
        <v/>
      </c>
      <c r="D211" s="4" t="str">
        <f aca="false">IF($A211="","",IF(P6_Export!$C211=0,"deterministic","triangular"))</f>
        <v/>
      </c>
      <c r="E211" s="4" t="str">
        <f aca="false">IF($A211="","",IF($D211="deterministic",0,ROUND(P6_Export!$C211*說明!$C$22,1)))</f>
        <v/>
      </c>
      <c r="F211" s="4" t="str">
        <f aca="false">IF($A211="","",P6_Export!$C211)</f>
        <v/>
      </c>
      <c r="G211" s="4" t="str">
        <f aca="false">IF($A211="","",IF($D211="deterministic",0,ROUND(P6_Export!$C211*說明!$C$23,1)))</f>
        <v/>
      </c>
    </row>
    <row r="212" customFormat="false" ht="15" hidden="false" customHeight="false" outlineLevel="0" collapsed="false">
      <c r="A212" s="4" t="str">
        <f aca="false">IF(TRIM(P6_Export!A212)="","",TRIM(P6_Export!A212))</f>
        <v/>
      </c>
      <c r="B212" s="4" t="str">
        <f aca="false">IF($A212="","",P6_Export!B212)</f>
        <v/>
      </c>
      <c r="C212" s="4" t="str">
        <f aca="false">IF($A212="","",SUBSTITUTE(SUBSTITUTE(TRIM(P6_Export!D212)," ",""),",",";"))</f>
        <v/>
      </c>
      <c r="D212" s="4" t="str">
        <f aca="false">IF($A212="","",IF(P6_Export!$C212=0,"deterministic","triangular"))</f>
        <v/>
      </c>
      <c r="E212" s="4" t="str">
        <f aca="false">IF($A212="","",IF($D212="deterministic",0,ROUND(P6_Export!$C212*說明!$C$22,1)))</f>
        <v/>
      </c>
      <c r="F212" s="4" t="str">
        <f aca="false">IF($A212="","",P6_Export!$C212)</f>
        <v/>
      </c>
      <c r="G212" s="4" t="str">
        <f aca="false">IF($A212="","",IF($D212="deterministic",0,ROUND(P6_Export!$C212*說明!$C$23,1)))</f>
        <v/>
      </c>
    </row>
    <row r="213" customFormat="false" ht="15" hidden="false" customHeight="false" outlineLevel="0" collapsed="false">
      <c r="A213" s="4" t="str">
        <f aca="false">IF(TRIM(P6_Export!A213)="","",TRIM(P6_Export!A213))</f>
        <v/>
      </c>
      <c r="B213" s="4" t="str">
        <f aca="false">IF($A213="","",P6_Export!B213)</f>
        <v/>
      </c>
      <c r="C213" s="4" t="str">
        <f aca="false">IF($A213="","",SUBSTITUTE(SUBSTITUTE(TRIM(P6_Export!D213)," ",""),",",";"))</f>
        <v/>
      </c>
      <c r="D213" s="4" t="str">
        <f aca="false">IF($A213="","",IF(P6_Export!$C213=0,"deterministic","triangular"))</f>
        <v/>
      </c>
      <c r="E213" s="4" t="str">
        <f aca="false">IF($A213="","",IF($D213="deterministic",0,ROUND(P6_Export!$C213*說明!$C$22,1)))</f>
        <v/>
      </c>
      <c r="F213" s="4" t="str">
        <f aca="false">IF($A213="","",P6_Export!$C213)</f>
        <v/>
      </c>
      <c r="G213" s="4" t="str">
        <f aca="false">IF($A213="","",IF($D213="deterministic",0,ROUND(P6_Export!$C213*說明!$C$23,1)))</f>
        <v/>
      </c>
    </row>
    <row r="214" customFormat="false" ht="15" hidden="false" customHeight="false" outlineLevel="0" collapsed="false">
      <c r="A214" s="4" t="str">
        <f aca="false">IF(TRIM(P6_Export!A214)="","",TRIM(P6_Export!A214))</f>
        <v/>
      </c>
      <c r="B214" s="4" t="str">
        <f aca="false">IF($A214="","",P6_Export!B214)</f>
        <v/>
      </c>
      <c r="C214" s="4" t="str">
        <f aca="false">IF($A214="","",SUBSTITUTE(SUBSTITUTE(TRIM(P6_Export!D214)," ",""),",",";"))</f>
        <v/>
      </c>
      <c r="D214" s="4" t="str">
        <f aca="false">IF($A214="","",IF(P6_Export!$C214=0,"deterministic","triangular"))</f>
        <v/>
      </c>
      <c r="E214" s="4" t="str">
        <f aca="false">IF($A214="","",IF($D214="deterministic",0,ROUND(P6_Export!$C214*說明!$C$22,1)))</f>
        <v/>
      </c>
      <c r="F214" s="4" t="str">
        <f aca="false">IF($A214="","",P6_Export!$C214)</f>
        <v/>
      </c>
      <c r="G214" s="4" t="str">
        <f aca="false">IF($A214="","",IF($D214="deterministic",0,ROUND(P6_Export!$C214*說明!$C$23,1)))</f>
        <v/>
      </c>
    </row>
    <row r="215" customFormat="false" ht="15" hidden="false" customHeight="false" outlineLevel="0" collapsed="false">
      <c r="A215" s="4" t="str">
        <f aca="false">IF(TRIM(P6_Export!A215)="","",TRIM(P6_Export!A215))</f>
        <v/>
      </c>
      <c r="B215" s="4" t="str">
        <f aca="false">IF($A215="","",P6_Export!B215)</f>
        <v/>
      </c>
      <c r="C215" s="4" t="str">
        <f aca="false">IF($A215="","",SUBSTITUTE(SUBSTITUTE(TRIM(P6_Export!D215)," ",""),",",";"))</f>
        <v/>
      </c>
      <c r="D215" s="4" t="str">
        <f aca="false">IF($A215="","",IF(P6_Export!$C215=0,"deterministic","triangular"))</f>
        <v/>
      </c>
      <c r="E215" s="4" t="str">
        <f aca="false">IF($A215="","",IF($D215="deterministic",0,ROUND(P6_Export!$C215*說明!$C$22,1)))</f>
        <v/>
      </c>
      <c r="F215" s="4" t="str">
        <f aca="false">IF($A215="","",P6_Export!$C215)</f>
        <v/>
      </c>
      <c r="G215" s="4" t="str">
        <f aca="false">IF($A215="","",IF($D215="deterministic",0,ROUND(P6_Export!$C215*說明!$C$23,1)))</f>
        <v/>
      </c>
    </row>
    <row r="216" customFormat="false" ht="15" hidden="false" customHeight="false" outlineLevel="0" collapsed="false">
      <c r="A216" s="4" t="str">
        <f aca="false">IF(TRIM(P6_Export!A216)="","",TRIM(P6_Export!A216))</f>
        <v/>
      </c>
      <c r="B216" s="4" t="str">
        <f aca="false">IF($A216="","",P6_Export!B216)</f>
        <v/>
      </c>
      <c r="C216" s="4" t="str">
        <f aca="false">IF($A216="","",SUBSTITUTE(SUBSTITUTE(TRIM(P6_Export!D216)," ",""),",",";"))</f>
        <v/>
      </c>
      <c r="D216" s="4" t="str">
        <f aca="false">IF($A216="","",IF(P6_Export!$C216=0,"deterministic","triangular"))</f>
        <v/>
      </c>
      <c r="E216" s="4" t="str">
        <f aca="false">IF($A216="","",IF($D216="deterministic",0,ROUND(P6_Export!$C216*說明!$C$22,1)))</f>
        <v/>
      </c>
      <c r="F216" s="4" t="str">
        <f aca="false">IF($A216="","",P6_Export!$C216)</f>
        <v/>
      </c>
      <c r="G216" s="4" t="str">
        <f aca="false">IF($A216="","",IF($D216="deterministic",0,ROUND(P6_Export!$C216*說明!$C$23,1)))</f>
        <v/>
      </c>
    </row>
    <row r="217" customFormat="false" ht="15" hidden="false" customHeight="false" outlineLevel="0" collapsed="false">
      <c r="A217" s="4" t="str">
        <f aca="false">IF(TRIM(P6_Export!A217)="","",TRIM(P6_Export!A217))</f>
        <v/>
      </c>
      <c r="B217" s="4" t="str">
        <f aca="false">IF($A217="","",P6_Export!B217)</f>
        <v/>
      </c>
      <c r="C217" s="4" t="str">
        <f aca="false">IF($A217="","",SUBSTITUTE(SUBSTITUTE(TRIM(P6_Export!D217)," ",""),",",";"))</f>
        <v/>
      </c>
      <c r="D217" s="4" t="str">
        <f aca="false">IF($A217="","",IF(P6_Export!$C217=0,"deterministic","triangular"))</f>
        <v/>
      </c>
      <c r="E217" s="4" t="str">
        <f aca="false">IF($A217="","",IF($D217="deterministic",0,ROUND(P6_Export!$C217*說明!$C$22,1)))</f>
        <v/>
      </c>
      <c r="F217" s="4" t="str">
        <f aca="false">IF($A217="","",P6_Export!$C217)</f>
        <v/>
      </c>
      <c r="G217" s="4" t="str">
        <f aca="false">IF($A217="","",IF($D217="deterministic",0,ROUND(P6_Export!$C217*說明!$C$23,1)))</f>
        <v/>
      </c>
    </row>
    <row r="218" customFormat="false" ht="15" hidden="false" customHeight="false" outlineLevel="0" collapsed="false">
      <c r="A218" s="4" t="str">
        <f aca="false">IF(TRIM(P6_Export!A218)="","",TRIM(P6_Export!A218))</f>
        <v/>
      </c>
      <c r="B218" s="4" t="str">
        <f aca="false">IF($A218="","",P6_Export!B218)</f>
        <v/>
      </c>
      <c r="C218" s="4" t="str">
        <f aca="false">IF($A218="","",SUBSTITUTE(SUBSTITUTE(TRIM(P6_Export!D218)," ",""),",",";"))</f>
        <v/>
      </c>
      <c r="D218" s="4" t="str">
        <f aca="false">IF($A218="","",IF(P6_Export!$C218=0,"deterministic","triangular"))</f>
        <v/>
      </c>
      <c r="E218" s="4" t="str">
        <f aca="false">IF($A218="","",IF($D218="deterministic",0,ROUND(P6_Export!$C218*說明!$C$22,1)))</f>
        <v/>
      </c>
      <c r="F218" s="4" t="str">
        <f aca="false">IF($A218="","",P6_Export!$C218)</f>
        <v/>
      </c>
      <c r="G218" s="4" t="str">
        <f aca="false">IF($A218="","",IF($D218="deterministic",0,ROUND(P6_Export!$C218*說明!$C$23,1)))</f>
        <v/>
      </c>
    </row>
    <row r="219" customFormat="false" ht="15" hidden="false" customHeight="false" outlineLevel="0" collapsed="false">
      <c r="A219" s="4" t="str">
        <f aca="false">IF(TRIM(P6_Export!A219)="","",TRIM(P6_Export!A219))</f>
        <v/>
      </c>
      <c r="B219" s="4" t="str">
        <f aca="false">IF($A219="","",P6_Export!B219)</f>
        <v/>
      </c>
      <c r="C219" s="4" t="str">
        <f aca="false">IF($A219="","",SUBSTITUTE(SUBSTITUTE(TRIM(P6_Export!D219)," ",""),",",";"))</f>
        <v/>
      </c>
      <c r="D219" s="4" t="str">
        <f aca="false">IF($A219="","",IF(P6_Export!$C219=0,"deterministic","triangular"))</f>
        <v/>
      </c>
      <c r="E219" s="4" t="str">
        <f aca="false">IF($A219="","",IF($D219="deterministic",0,ROUND(P6_Export!$C219*說明!$C$22,1)))</f>
        <v/>
      </c>
      <c r="F219" s="4" t="str">
        <f aca="false">IF($A219="","",P6_Export!$C219)</f>
        <v/>
      </c>
      <c r="G219" s="4" t="str">
        <f aca="false">IF($A219="","",IF($D219="deterministic",0,ROUND(P6_Export!$C219*說明!$C$23,1)))</f>
        <v/>
      </c>
    </row>
    <row r="220" customFormat="false" ht="15" hidden="false" customHeight="false" outlineLevel="0" collapsed="false">
      <c r="A220" s="4" t="str">
        <f aca="false">IF(TRIM(P6_Export!A220)="","",TRIM(P6_Export!A220))</f>
        <v/>
      </c>
      <c r="B220" s="4" t="str">
        <f aca="false">IF($A220="","",P6_Export!B220)</f>
        <v/>
      </c>
      <c r="C220" s="4" t="str">
        <f aca="false">IF($A220="","",SUBSTITUTE(SUBSTITUTE(TRIM(P6_Export!D220)," ",""),",",";"))</f>
        <v/>
      </c>
      <c r="D220" s="4" t="str">
        <f aca="false">IF($A220="","",IF(P6_Export!$C220=0,"deterministic","triangular"))</f>
        <v/>
      </c>
      <c r="E220" s="4" t="str">
        <f aca="false">IF($A220="","",IF($D220="deterministic",0,ROUND(P6_Export!$C220*說明!$C$22,1)))</f>
        <v/>
      </c>
      <c r="F220" s="4" t="str">
        <f aca="false">IF($A220="","",P6_Export!$C220)</f>
        <v/>
      </c>
      <c r="G220" s="4" t="str">
        <f aca="false">IF($A220="","",IF($D220="deterministic",0,ROUND(P6_Export!$C220*說明!$C$23,1)))</f>
        <v/>
      </c>
    </row>
    <row r="221" customFormat="false" ht="15" hidden="false" customHeight="false" outlineLevel="0" collapsed="false">
      <c r="A221" s="4" t="str">
        <f aca="false">IF(TRIM(P6_Export!A221)="","",TRIM(P6_Export!A221))</f>
        <v/>
      </c>
      <c r="B221" s="4" t="str">
        <f aca="false">IF($A221="","",P6_Export!B221)</f>
        <v/>
      </c>
      <c r="C221" s="4" t="str">
        <f aca="false">IF($A221="","",SUBSTITUTE(SUBSTITUTE(TRIM(P6_Export!D221)," ",""),",",";"))</f>
        <v/>
      </c>
      <c r="D221" s="4" t="str">
        <f aca="false">IF($A221="","",IF(P6_Export!$C221=0,"deterministic","triangular"))</f>
        <v/>
      </c>
      <c r="E221" s="4" t="str">
        <f aca="false">IF($A221="","",IF($D221="deterministic",0,ROUND(P6_Export!$C221*說明!$C$22,1)))</f>
        <v/>
      </c>
      <c r="F221" s="4" t="str">
        <f aca="false">IF($A221="","",P6_Export!$C221)</f>
        <v/>
      </c>
      <c r="G221" s="4" t="str">
        <f aca="false">IF($A221="","",IF($D221="deterministic",0,ROUND(P6_Export!$C221*說明!$C$23,1)))</f>
        <v/>
      </c>
    </row>
    <row r="222" customFormat="false" ht="15" hidden="false" customHeight="false" outlineLevel="0" collapsed="false">
      <c r="A222" s="4" t="str">
        <f aca="false">IF(TRIM(P6_Export!A222)="","",TRIM(P6_Export!A222))</f>
        <v/>
      </c>
      <c r="B222" s="4" t="str">
        <f aca="false">IF($A222="","",P6_Export!B222)</f>
        <v/>
      </c>
      <c r="C222" s="4" t="str">
        <f aca="false">IF($A222="","",SUBSTITUTE(SUBSTITUTE(TRIM(P6_Export!D222)," ",""),",",";"))</f>
        <v/>
      </c>
      <c r="D222" s="4" t="str">
        <f aca="false">IF($A222="","",IF(P6_Export!$C222=0,"deterministic","triangular"))</f>
        <v/>
      </c>
      <c r="E222" s="4" t="str">
        <f aca="false">IF($A222="","",IF($D222="deterministic",0,ROUND(P6_Export!$C222*說明!$C$22,1)))</f>
        <v/>
      </c>
      <c r="F222" s="4" t="str">
        <f aca="false">IF($A222="","",P6_Export!$C222)</f>
        <v/>
      </c>
      <c r="G222" s="4" t="str">
        <f aca="false">IF($A222="","",IF($D222="deterministic",0,ROUND(P6_Export!$C222*說明!$C$23,1)))</f>
        <v/>
      </c>
    </row>
    <row r="223" customFormat="false" ht="15" hidden="false" customHeight="false" outlineLevel="0" collapsed="false">
      <c r="A223" s="4" t="str">
        <f aca="false">IF(TRIM(P6_Export!A223)="","",TRIM(P6_Export!A223))</f>
        <v/>
      </c>
      <c r="B223" s="4" t="str">
        <f aca="false">IF($A223="","",P6_Export!B223)</f>
        <v/>
      </c>
      <c r="C223" s="4" t="str">
        <f aca="false">IF($A223="","",SUBSTITUTE(SUBSTITUTE(TRIM(P6_Export!D223)," ",""),",",";"))</f>
        <v/>
      </c>
      <c r="D223" s="4" t="str">
        <f aca="false">IF($A223="","",IF(P6_Export!$C223=0,"deterministic","triangular"))</f>
        <v/>
      </c>
      <c r="E223" s="4" t="str">
        <f aca="false">IF($A223="","",IF($D223="deterministic",0,ROUND(P6_Export!$C223*說明!$C$22,1)))</f>
        <v/>
      </c>
      <c r="F223" s="4" t="str">
        <f aca="false">IF($A223="","",P6_Export!$C223)</f>
        <v/>
      </c>
      <c r="G223" s="4" t="str">
        <f aca="false">IF($A223="","",IF($D223="deterministic",0,ROUND(P6_Export!$C223*說明!$C$23,1)))</f>
        <v/>
      </c>
    </row>
    <row r="224" customFormat="false" ht="15" hidden="false" customHeight="false" outlineLevel="0" collapsed="false">
      <c r="A224" s="4" t="str">
        <f aca="false">IF(TRIM(P6_Export!A224)="","",TRIM(P6_Export!A224))</f>
        <v/>
      </c>
      <c r="B224" s="4" t="str">
        <f aca="false">IF($A224="","",P6_Export!B224)</f>
        <v/>
      </c>
      <c r="C224" s="4" t="str">
        <f aca="false">IF($A224="","",SUBSTITUTE(SUBSTITUTE(TRIM(P6_Export!D224)," ",""),",",";"))</f>
        <v/>
      </c>
      <c r="D224" s="4" t="str">
        <f aca="false">IF($A224="","",IF(P6_Export!$C224=0,"deterministic","triangular"))</f>
        <v/>
      </c>
      <c r="E224" s="4" t="str">
        <f aca="false">IF($A224="","",IF($D224="deterministic",0,ROUND(P6_Export!$C224*說明!$C$22,1)))</f>
        <v/>
      </c>
      <c r="F224" s="4" t="str">
        <f aca="false">IF($A224="","",P6_Export!$C224)</f>
        <v/>
      </c>
      <c r="G224" s="4" t="str">
        <f aca="false">IF($A224="","",IF($D224="deterministic",0,ROUND(P6_Export!$C224*說明!$C$23,1)))</f>
        <v/>
      </c>
    </row>
    <row r="225" customFormat="false" ht="15" hidden="false" customHeight="false" outlineLevel="0" collapsed="false">
      <c r="A225" s="4" t="str">
        <f aca="false">IF(TRIM(P6_Export!A225)="","",TRIM(P6_Export!A225))</f>
        <v/>
      </c>
      <c r="B225" s="4" t="str">
        <f aca="false">IF($A225="","",P6_Export!B225)</f>
        <v/>
      </c>
      <c r="C225" s="4" t="str">
        <f aca="false">IF($A225="","",SUBSTITUTE(SUBSTITUTE(TRIM(P6_Export!D225)," ",""),",",";"))</f>
        <v/>
      </c>
      <c r="D225" s="4" t="str">
        <f aca="false">IF($A225="","",IF(P6_Export!$C225=0,"deterministic","triangular"))</f>
        <v/>
      </c>
      <c r="E225" s="4" t="str">
        <f aca="false">IF($A225="","",IF($D225="deterministic",0,ROUND(P6_Export!$C225*說明!$C$22,1)))</f>
        <v/>
      </c>
      <c r="F225" s="4" t="str">
        <f aca="false">IF($A225="","",P6_Export!$C225)</f>
        <v/>
      </c>
      <c r="G225" s="4" t="str">
        <f aca="false">IF($A225="","",IF($D225="deterministic",0,ROUND(P6_Export!$C225*說明!$C$23,1)))</f>
        <v/>
      </c>
    </row>
    <row r="226" customFormat="false" ht="15" hidden="false" customHeight="false" outlineLevel="0" collapsed="false">
      <c r="A226" s="4" t="str">
        <f aca="false">IF(TRIM(P6_Export!A226)="","",TRIM(P6_Export!A226))</f>
        <v/>
      </c>
      <c r="B226" s="4" t="str">
        <f aca="false">IF($A226="","",P6_Export!B226)</f>
        <v/>
      </c>
      <c r="C226" s="4" t="str">
        <f aca="false">IF($A226="","",SUBSTITUTE(SUBSTITUTE(TRIM(P6_Export!D226)," ",""),",",";"))</f>
        <v/>
      </c>
      <c r="D226" s="4" t="str">
        <f aca="false">IF($A226="","",IF(P6_Export!$C226=0,"deterministic","triangular"))</f>
        <v/>
      </c>
      <c r="E226" s="4" t="str">
        <f aca="false">IF($A226="","",IF($D226="deterministic",0,ROUND(P6_Export!$C226*說明!$C$22,1)))</f>
        <v/>
      </c>
      <c r="F226" s="4" t="str">
        <f aca="false">IF($A226="","",P6_Export!$C226)</f>
        <v/>
      </c>
      <c r="G226" s="4" t="str">
        <f aca="false">IF($A226="","",IF($D226="deterministic",0,ROUND(P6_Export!$C226*說明!$C$23,1)))</f>
        <v/>
      </c>
    </row>
    <row r="227" customFormat="false" ht="15" hidden="false" customHeight="false" outlineLevel="0" collapsed="false">
      <c r="A227" s="4" t="str">
        <f aca="false">IF(TRIM(P6_Export!A227)="","",TRIM(P6_Export!A227))</f>
        <v/>
      </c>
      <c r="B227" s="4" t="str">
        <f aca="false">IF($A227="","",P6_Export!B227)</f>
        <v/>
      </c>
      <c r="C227" s="4" t="str">
        <f aca="false">IF($A227="","",SUBSTITUTE(SUBSTITUTE(TRIM(P6_Export!D227)," ",""),",",";"))</f>
        <v/>
      </c>
      <c r="D227" s="4" t="str">
        <f aca="false">IF($A227="","",IF(P6_Export!$C227=0,"deterministic","triangular"))</f>
        <v/>
      </c>
      <c r="E227" s="4" t="str">
        <f aca="false">IF($A227="","",IF($D227="deterministic",0,ROUND(P6_Export!$C227*說明!$C$22,1)))</f>
        <v/>
      </c>
      <c r="F227" s="4" t="str">
        <f aca="false">IF($A227="","",P6_Export!$C227)</f>
        <v/>
      </c>
      <c r="G227" s="4" t="str">
        <f aca="false">IF($A227="","",IF($D227="deterministic",0,ROUND(P6_Export!$C227*說明!$C$23,1)))</f>
        <v/>
      </c>
    </row>
    <row r="228" customFormat="false" ht="15" hidden="false" customHeight="false" outlineLevel="0" collapsed="false">
      <c r="A228" s="4" t="str">
        <f aca="false">IF(TRIM(P6_Export!A228)="","",TRIM(P6_Export!A228))</f>
        <v/>
      </c>
      <c r="B228" s="4" t="str">
        <f aca="false">IF($A228="","",P6_Export!B228)</f>
        <v/>
      </c>
      <c r="C228" s="4" t="str">
        <f aca="false">IF($A228="","",SUBSTITUTE(SUBSTITUTE(TRIM(P6_Export!D228)," ",""),",",";"))</f>
        <v/>
      </c>
      <c r="D228" s="4" t="str">
        <f aca="false">IF($A228="","",IF(P6_Export!$C228=0,"deterministic","triangular"))</f>
        <v/>
      </c>
      <c r="E228" s="4" t="str">
        <f aca="false">IF($A228="","",IF($D228="deterministic",0,ROUND(P6_Export!$C228*說明!$C$22,1)))</f>
        <v/>
      </c>
      <c r="F228" s="4" t="str">
        <f aca="false">IF($A228="","",P6_Export!$C228)</f>
        <v/>
      </c>
      <c r="G228" s="4" t="str">
        <f aca="false">IF($A228="","",IF($D228="deterministic",0,ROUND(P6_Export!$C228*說明!$C$23,1)))</f>
        <v/>
      </c>
    </row>
    <row r="229" customFormat="false" ht="15" hidden="false" customHeight="false" outlineLevel="0" collapsed="false">
      <c r="A229" s="4" t="str">
        <f aca="false">IF(TRIM(P6_Export!A229)="","",TRIM(P6_Export!A229))</f>
        <v/>
      </c>
      <c r="B229" s="4" t="str">
        <f aca="false">IF($A229="","",P6_Export!B229)</f>
        <v/>
      </c>
      <c r="C229" s="4" t="str">
        <f aca="false">IF($A229="","",SUBSTITUTE(SUBSTITUTE(TRIM(P6_Export!D229)," ",""),",",";"))</f>
        <v/>
      </c>
      <c r="D229" s="4" t="str">
        <f aca="false">IF($A229="","",IF(P6_Export!$C229=0,"deterministic","triangular"))</f>
        <v/>
      </c>
      <c r="E229" s="4" t="str">
        <f aca="false">IF($A229="","",IF($D229="deterministic",0,ROUND(P6_Export!$C229*說明!$C$22,1)))</f>
        <v/>
      </c>
      <c r="F229" s="4" t="str">
        <f aca="false">IF($A229="","",P6_Export!$C229)</f>
        <v/>
      </c>
      <c r="G229" s="4" t="str">
        <f aca="false">IF($A229="","",IF($D229="deterministic",0,ROUND(P6_Export!$C229*說明!$C$23,1)))</f>
        <v/>
      </c>
    </row>
    <row r="230" customFormat="false" ht="15" hidden="false" customHeight="false" outlineLevel="0" collapsed="false">
      <c r="A230" s="4" t="str">
        <f aca="false">IF(TRIM(P6_Export!A230)="","",TRIM(P6_Export!A230))</f>
        <v/>
      </c>
      <c r="B230" s="4" t="str">
        <f aca="false">IF($A230="","",P6_Export!B230)</f>
        <v/>
      </c>
      <c r="C230" s="4" t="str">
        <f aca="false">IF($A230="","",SUBSTITUTE(SUBSTITUTE(TRIM(P6_Export!D230)," ",""),",",";"))</f>
        <v/>
      </c>
      <c r="D230" s="4" t="str">
        <f aca="false">IF($A230="","",IF(P6_Export!$C230=0,"deterministic","triangular"))</f>
        <v/>
      </c>
      <c r="E230" s="4" t="str">
        <f aca="false">IF($A230="","",IF($D230="deterministic",0,ROUND(P6_Export!$C230*說明!$C$22,1)))</f>
        <v/>
      </c>
      <c r="F230" s="4" t="str">
        <f aca="false">IF($A230="","",P6_Export!$C230)</f>
        <v/>
      </c>
      <c r="G230" s="4" t="str">
        <f aca="false">IF($A230="","",IF($D230="deterministic",0,ROUND(P6_Export!$C230*說明!$C$23,1)))</f>
        <v/>
      </c>
    </row>
    <row r="231" customFormat="false" ht="15" hidden="false" customHeight="false" outlineLevel="0" collapsed="false">
      <c r="A231" s="4" t="str">
        <f aca="false">IF(TRIM(P6_Export!A231)="","",TRIM(P6_Export!A231))</f>
        <v/>
      </c>
      <c r="B231" s="4" t="str">
        <f aca="false">IF($A231="","",P6_Export!B231)</f>
        <v/>
      </c>
      <c r="C231" s="4" t="str">
        <f aca="false">IF($A231="","",SUBSTITUTE(SUBSTITUTE(TRIM(P6_Export!D231)," ",""),",",";"))</f>
        <v/>
      </c>
      <c r="D231" s="4" t="str">
        <f aca="false">IF($A231="","",IF(P6_Export!$C231=0,"deterministic","triangular"))</f>
        <v/>
      </c>
      <c r="E231" s="4" t="str">
        <f aca="false">IF($A231="","",IF($D231="deterministic",0,ROUND(P6_Export!$C231*說明!$C$22,1)))</f>
        <v/>
      </c>
      <c r="F231" s="4" t="str">
        <f aca="false">IF($A231="","",P6_Export!$C231)</f>
        <v/>
      </c>
      <c r="G231" s="4" t="str">
        <f aca="false">IF($A231="","",IF($D231="deterministic",0,ROUND(P6_Export!$C231*說明!$C$23,1)))</f>
        <v/>
      </c>
    </row>
    <row r="232" customFormat="false" ht="15" hidden="false" customHeight="false" outlineLevel="0" collapsed="false">
      <c r="A232" s="4" t="str">
        <f aca="false">IF(TRIM(P6_Export!A232)="","",TRIM(P6_Export!A232))</f>
        <v/>
      </c>
      <c r="B232" s="4" t="str">
        <f aca="false">IF($A232="","",P6_Export!B232)</f>
        <v/>
      </c>
      <c r="C232" s="4" t="str">
        <f aca="false">IF($A232="","",SUBSTITUTE(SUBSTITUTE(TRIM(P6_Export!D232)," ",""),",",";"))</f>
        <v/>
      </c>
      <c r="D232" s="4" t="str">
        <f aca="false">IF($A232="","",IF(P6_Export!$C232=0,"deterministic","triangular"))</f>
        <v/>
      </c>
      <c r="E232" s="4" t="str">
        <f aca="false">IF($A232="","",IF($D232="deterministic",0,ROUND(P6_Export!$C232*說明!$C$22,1)))</f>
        <v/>
      </c>
      <c r="F232" s="4" t="str">
        <f aca="false">IF($A232="","",P6_Export!$C232)</f>
        <v/>
      </c>
      <c r="G232" s="4" t="str">
        <f aca="false">IF($A232="","",IF($D232="deterministic",0,ROUND(P6_Export!$C232*說明!$C$23,1)))</f>
        <v/>
      </c>
    </row>
    <row r="233" customFormat="false" ht="15" hidden="false" customHeight="false" outlineLevel="0" collapsed="false">
      <c r="A233" s="4" t="str">
        <f aca="false">IF(TRIM(P6_Export!A233)="","",TRIM(P6_Export!A233))</f>
        <v/>
      </c>
      <c r="B233" s="4" t="str">
        <f aca="false">IF($A233="","",P6_Export!B233)</f>
        <v/>
      </c>
      <c r="C233" s="4" t="str">
        <f aca="false">IF($A233="","",SUBSTITUTE(SUBSTITUTE(TRIM(P6_Export!D233)," ",""),",",";"))</f>
        <v/>
      </c>
      <c r="D233" s="4" t="str">
        <f aca="false">IF($A233="","",IF(P6_Export!$C233=0,"deterministic","triangular"))</f>
        <v/>
      </c>
      <c r="E233" s="4" t="str">
        <f aca="false">IF($A233="","",IF($D233="deterministic",0,ROUND(P6_Export!$C233*說明!$C$22,1)))</f>
        <v/>
      </c>
      <c r="F233" s="4" t="str">
        <f aca="false">IF($A233="","",P6_Export!$C233)</f>
        <v/>
      </c>
      <c r="G233" s="4" t="str">
        <f aca="false">IF($A233="","",IF($D233="deterministic",0,ROUND(P6_Export!$C233*說明!$C$23,1)))</f>
        <v/>
      </c>
    </row>
    <row r="234" customFormat="false" ht="15" hidden="false" customHeight="false" outlineLevel="0" collapsed="false">
      <c r="A234" s="4" t="str">
        <f aca="false">IF(TRIM(P6_Export!A234)="","",TRIM(P6_Export!A234))</f>
        <v/>
      </c>
      <c r="B234" s="4" t="str">
        <f aca="false">IF($A234="","",P6_Export!B234)</f>
        <v/>
      </c>
      <c r="C234" s="4" t="str">
        <f aca="false">IF($A234="","",SUBSTITUTE(SUBSTITUTE(TRIM(P6_Export!D234)," ",""),",",";"))</f>
        <v/>
      </c>
      <c r="D234" s="4" t="str">
        <f aca="false">IF($A234="","",IF(P6_Export!$C234=0,"deterministic","triangular"))</f>
        <v/>
      </c>
      <c r="E234" s="4" t="str">
        <f aca="false">IF($A234="","",IF($D234="deterministic",0,ROUND(P6_Export!$C234*說明!$C$22,1)))</f>
        <v/>
      </c>
      <c r="F234" s="4" t="str">
        <f aca="false">IF($A234="","",P6_Export!$C234)</f>
        <v/>
      </c>
      <c r="G234" s="4" t="str">
        <f aca="false">IF($A234="","",IF($D234="deterministic",0,ROUND(P6_Export!$C234*說明!$C$23,1)))</f>
        <v/>
      </c>
    </row>
    <row r="235" customFormat="false" ht="15" hidden="false" customHeight="false" outlineLevel="0" collapsed="false">
      <c r="A235" s="4" t="str">
        <f aca="false">IF(TRIM(P6_Export!A235)="","",TRIM(P6_Export!A235))</f>
        <v/>
      </c>
      <c r="B235" s="4" t="str">
        <f aca="false">IF($A235="","",P6_Export!B235)</f>
        <v/>
      </c>
      <c r="C235" s="4" t="str">
        <f aca="false">IF($A235="","",SUBSTITUTE(SUBSTITUTE(TRIM(P6_Export!D235)," ",""),",",";"))</f>
        <v/>
      </c>
      <c r="D235" s="4" t="str">
        <f aca="false">IF($A235="","",IF(P6_Export!$C235=0,"deterministic","triangular"))</f>
        <v/>
      </c>
      <c r="E235" s="4" t="str">
        <f aca="false">IF($A235="","",IF($D235="deterministic",0,ROUND(P6_Export!$C235*說明!$C$22,1)))</f>
        <v/>
      </c>
      <c r="F235" s="4" t="str">
        <f aca="false">IF($A235="","",P6_Export!$C235)</f>
        <v/>
      </c>
      <c r="G235" s="4" t="str">
        <f aca="false">IF($A235="","",IF($D235="deterministic",0,ROUND(P6_Export!$C235*說明!$C$23,1)))</f>
        <v/>
      </c>
    </row>
    <row r="236" customFormat="false" ht="15" hidden="false" customHeight="false" outlineLevel="0" collapsed="false">
      <c r="A236" s="4" t="str">
        <f aca="false">IF(TRIM(P6_Export!A236)="","",TRIM(P6_Export!A236))</f>
        <v/>
      </c>
      <c r="B236" s="4" t="str">
        <f aca="false">IF($A236="","",P6_Export!B236)</f>
        <v/>
      </c>
      <c r="C236" s="4" t="str">
        <f aca="false">IF($A236="","",SUBSTITUTE(SUBSTITUTE(TRIM(P6_Export!D236)," ",""),",",";"))</f>
        <v/>
      </c>
      <c r="D236" s="4" t="str">
        <f aca="false">IF($A236="","",IF(P6_Export!$C236=0,"deterministic","triangular"))</f>
        <v/>
      </c>
      <c r="E236" s="4" t="str">
        <f aca="false">IF($A236="","",IF($D236="deterministic",0,ROUND(P6_Export!$C236*說明!$C$22,1)))</f>
        <v/>
      </c>
      <c r="F236" s="4" t="str">
        <f aca="false">IF($A236="","",P6_Export!$C236)</f>
        <v/>
      </c>
      <c r="G236" s="4" t="str">
        <f aca="false">IF($A236="","",IF($D236="deterministic",0,ROUND(P6_Export!$C236*說明!$C$23,1)))</f>
        <v/>
      </c>
    </row>
    <row r="237" customFormat="false" ht="15" hidden="false" customHeight="false" outlineLevel="0" collapsed="false">
      <c r="A237" s="4" t="str">
        <f aca="false">IF(TRIM(P6_Export!A237)="","",TRIM(P6_Export!A237))</f>
        <v/>
      </c>
      <c r="B237" s="4" t="str">
        <f aca="false">IF($A237="","",P6_Export!B237)</f>
        <v/>
      </c>
      <c r="C237" s="4" t="str">
        <f aca="false">IF($A237="","",SUBSTITUTE(SUBSTITUTE(TRIM(P6_Export!D237)," ",""),",",";"))</f>
        <v/>
      </c>
      <c r="D237" s="4" t="str">
        <f aca="false">IF($A237="","",IF(P6_Export!$C237=0,"deterministic","triangular"))</f>
        <v/>
      </c>
      <c r="E237" s="4" t="str">
        <f aca="false">IF($A237="","",IF($D237="deterministic",0,ROUND(P6_Export!$C237*說明!$C$22,1)))</f>
        <v/>
      </c>
      <c r="F237" s="4" t="str">
        <f aca="false">IF($A237="","",P6_Export!$C237)</f>
        <v/>
      </c>
      <c r="G237" s="4" t="str">
        <f aca="false">IF($A237="","",IF($D237="deterministic",0,ROUND(P6_Export!$C237*說明!$C$23,1)))</f>
        <v/>
      </c>
    </row>
    <row r="238" customFormat="false" ht="15" hidden="false" customHeight="false" outlineLevel="0" collapsed="false">
      <c r="A238" s="4" t="str">
        <f aca="false">IF(TRIM(P6_Export!A238)="","",TRIM(P6_Export!A238))</f>
        <v/>
      </c>
      <c r="B238" s="4" t="str">
        <f aca="false">IF($A238="","",P6_Export!B238)</f>
        <v/>
      </c>
      <c r="C238" s="4" t="str">
        <f aca="false">IF($A238="","",SUBSTITUTE(SUBSTITUTE(TRIM(P6_Export!D238)," ",""),",",";"))</f>
        <v/>
      </c>
      <c r="D238" s="4" t="str">
        <f aca="false">IF($A238="","",IF(P6_Export!$C238=0,"deterministic","triangular"))</f>
        <v/>
      </c>
      <c r="E238" s="4" t="str">
        <f aca="false">IF($A238="","",IF($D238="deterministic",0,ROUND(P6_Export!$C238*說明!$C$22,1)))</f>
        <v/>
      </c>
      <c r="F238" s="4" t="str">
        <f aca="false">IF($A238="","",P6_Export!$C238)</f>
        <v/>
      </c>
      <c r="G238" s="4" t="str">
        <f aca="false">IF($A238="","",IF($D238="deterministic",0,ROUND(P6_Export!$C238*說明!$C$23,1)))</f>
        <v/>
      </c>
    </row>
    <row r="239" customFormat="false" ht="15" hidden="false" customHeight="false" outlineLevel="0" collapsed="false">
      <c r="A239" s="4" t="str">
        <f aca="false">IF(TRIM(P6_Export!A239)="","",TRIM(P6_Export!A239))</f>
        <v/>
      </c>
      <c r="B239" s="4" t="str">
        <f aca="false">IF($A239="","",P6_Export!B239)</f>
        <v/>
      </c>
      <c r="C239" s="4" t="str">
        <f aca="false">IF($A239="","",SUBSTITUTE(SUBSTITUTE(TRIM(P6_Export!D239)," ",""),",",";"))</f>
        <v/>
      </c>
      <c r="D239" s="4" t="str">
        <f aca="false">IF($A239="","",IF(P6_Export!$C239=0,"deterministic","triangular"))</f>
        <v/>
      </c>
      <c r="E239" s="4" t="str">
        <f aca="false">IF($A239="","",IF($D239="deterministic",0,ROUND(P6_Export!$C239*說明!$C$22,1)))</f>
        <v/>
      </c>
      <c r="F239" s="4" t="str">
        <f aca="false">IF($A239="","",P6_Export!$C239)</f>
        <v/>
      </c>
      <c r="G239" s="4" t="str">
        <f aca="false">IF($A239="","",IF($D239="deterministic",0,ROUND(P6_Export!$C239*說明!$C$23,1)))</f>
        <v/>
      </c>
    </row>
    <row r="240" customFormat="false" ht="15" hidden="false" customHeight="false" outlineLevel="0" collapsed="false">
      <c r="A240" s="4" t="str">
        <f aca="false">IF(TRIM(P6_Export!A240)="","",TRIM(P6_Export!A240))</f>
        <v/>
      </c>
      <c r="B240" s="4" t="str">
        <f aca="false">IF($A240="","",P6_Export!B240)</f>
        <v/>
      </c>
      <c r="C240" s="4" t="str">
        <f aca="false">IF($A240="","",SUBSTITUTE(SUBSTITUTE(TRIM(P6_Export!D240)," ",""),",",";"))</f>
        <v/>
      </c>
      <c r="D240" s="4" t="str">
        <f aca="false">IF($A240="","",IF(P6_Export!$C240=0,"deterministic","triangular"))</f>
        <v/>
      </c>
      <c r="E240" s="4" t="str">
        <f aca="false">IF($A240="","",IF($D240="deterministic",0,ROUND(P6_Export!$C240*說明!$C$22,1)))</f>
        <v/>
      </c>
      <c r="F240" s="4" t="str">
        <f aca="false">IF($A240="","",P6_Export!$C240)</f>
        <v/>
      </c>
      <c r="G240" s="4" t="str">
        <f aca="false">IF($A240="","",IF($D240="deterministic",0,ROUND(P6_Export!$C240*說明!$C$23,1)))</f>
        <v/>
      </c>
    </row>
    <row r="241" customFormat="false" ht="15" hidden="false" customHeight="false" outlineLevel="0" collapsed="false">
      <c r="A241" s="4" t="str">
        <f aca="false">IF(TRIM(P6_Export!A241)="","",TRIM(P6_Export!A241))</f>
        <v/>
      </c>
      <c r="B241" s="4" t="str">
        <f aca="false">IF($A241="","",P6_Export!B241)</f>
        <v/>
      </c>
      <c r="C241" s="4" t="str">
        <f aca="false">IF($A241="","",SUBSTITUTE(SUBSTITUTE(TRIM(P6_Export!D241)," ",""),",",";"))</f>
        <v/>
      </c>
      <c r="D241" s="4" t="str">
        <f aca="false">IF($A241="","",IF(P6_Export!$C241=0,"deterministic","triangular"))</f>
        <v/>
      </c>
      <c r="E241" s="4" t="str">
        <f aca="false">IF($A241="","",IF($D241="deterministic",0,ROUND(P6_Export!$C241*說明!$C$22,1)))</f>
        <v/>
      </c>
      <c r="F241" s="4" t="str">
        <f aca="false">IF($A241="","",P6_Export!$C241)</f>
        <v/>
      </c>
      <c r="G241" s="4" t="str">
        <f aca="false">IF($A241="","",IF($D241="deterministic",0,ROUND(P6_Export!$C241*說明!$C$23,1)))</f>
        <v/>
      </c>
    </row>
    <row r="242" customFormat="false" ht="15" hidden="false" customHeight="false" outlineLevel="0" collapsed="false">
      <c r="A242" s="4" t="str">
        <f aca="false">IF(TRIM(P6_Export!A242)="","",TRIM(P6_Export!A242))</f>
        <v/>
      </c>
      <c r="B242" s="4" t="str">
        <f aca="false">IF($A242="","",P6_Export!B242)</f>
        <v/>
      </c>
      <c r="C242" s="4" t="str">
        <f aca="false">IF($A242="","",SUBSTITUTE(SUBSTITUTE(TRIM(P6_Export!D242)," ",""),",",";"))</f>
        <v/>
      </c>
      <c r="D242" s="4" t="str">
        <f aca="false">IF($A242="","",IF(P6_Export!$C242=0,"deterministic","triangular"))</f>
        <v/>
      </c>
      <c r="E242" s="4" t="str">
        <f aca="false">IF($A242="","",IF($D242="deterministic",0,ROUND(P6_Export!$C242*說明!$C$22,1)))</f>
        <v/>
      </c>
      <c r="F242" s="4" t="str">
        <f aca="false">IF($A242="","",P6_Export!$C242)</f>
        <v/>
      </c>
      <c r="G242" s="4" t="str">
        <f aca="false">IF($A242="","",IF($D242="deterministic",0,ROUND(P6_Export!$C242*說明!$C$23,1)))</f>
        <v/>
      </c>
    </row>
    <row r="243" customFormat="false" ht="15" hidden="false" customHeight="false" outlineLevel="0" collapsed="false">
      <c r="A243" s="4" t="str">
        <f aca="false">IF(TRIM(P6_Export!A243)="","",TRIM(P6_Export!A243))</f>
        <v/>
      </c>
      <c r="B243" s="4" t="str">
        <f aca="false">IF($A243="","",P6_Export!B243)</f>
        <v/>
      </c>
      <c r="C243" s="4" t="str">
        <f aca="false">IF($A243="","",SUBSTITUTE(SUBSTITUTE(TRIM(P6_Export!D243)," ",""),",",";"))</f>
        <v/>
      </c>
      <c r="D243" s="4" t="str">
        <f aca="false">IF($A243="","",IF(P6_Export!$C243=0,"deterministic","triangular"))</f>
        <v/>
      </c>
      <c r="E243" s="4" t="str">
        <f aca="false">IF($A243="","",IF($D243="deterministic",0,ROUND(P6_Export!$C243*說明!$C$22,1)))</f>
        <v/>
      </c>
      <c r="F243" s="4" t="str">
        <f aca="false">IF($A243="","",P6_Export!$C243)</f>
        <v/>
      </c>
      <c r="G243" s="4" t="str">
        <f aca="false">IF($A243="","",IF($D243="deterministic",0,ROUND(P6_Export!$C243*說明!$C$23,1)))</f>
        <v/>
      </c>
    </row>
    <row r="244" customFormat="false" ht="15" hidden="false" customHeight="false" outlineLevel="0" collapsed="false">
      <c r="A244" s="4" t="str">
        <f aca="false">IF(TRIM(P6_Export!A244)="","",TRIM(P6_Export!A244))</f>
        <v/>
      </c>
      <c r="B244" s="4" t="str">
        <f aca="false">IF($A244="","",P6_Export!B244)</f>
        <v/>
      </c>
      <c r="C244" s="4" t="str">
        <f aca="false">IF($A244="","",SUBSTITUTE(SUBSTITUTE(TRIM(P6_Export!D244)," ",""),",",";"))</f>
        <v/>
      </c>
      <c r="D244" s="4" t="str">
        <f aca="false">IF($A244="","",IF(P6_Export!$C244=0,"deterministic","triangular"))</f>
        <v/>
      </c>
      <c r="E244" s="4" t="str">
        <f aca="false">IF($A244="","",IF($D244="deterministic",0,ROUND(P6_Export!$C244*說明!$C$22,1)))</f>
        <v/>
      </c>
      <c r="F244" s="4" t="str">
        <f aca="false">IF($A244="","",P6_Export!$C244)</f>
        <v/>
      </c>
      <c r="G244" s="4" t="str">
        <f aca="false">IF($A244="","",IF($D244="deterministic",0,ROUND(P6_Export!$C244*說明!$C$23,1)))</f>
        <v/>
      </c>
    </row>
    <row r="245" customFormat="false" ht="15" hidden="false" customHeight="false" outlineLevel="0" collapsed="false">
      <c r="A245" s="4" t="str">
        <f aca="false">IF(TRIM(P6_Export!A245)="","",TRIM(P6_Export!A245))</f>
        <v/>
      </c>
      <c r="B245" s="4" t="str">
        <f aca="false">IF($A245="","",P6_Export!B245)</f>
        <v/>
      </c>
      <c r="C245" s="4" t="str">
        <f aca="false">IF($A245="","",SUBSTITUTE(SUBSTITUTE(TRIM(P6_Export!D245)," ",""),",",";"))</f>
        <v/>
      </c>
      <c r="D245" s="4" t="str">
        <f aca="false">IF($A245="","",IF(P6_Export!$C245=0,"deterministic","triangular"))</f>
        <v/>
      </c>
      <c r="E245" s="4" t="str">
        <f aca="false">IF($A245="","",IF($D245="deterministic",0,ROUND(P6_Export!$C245*說明!$C$22,1)))</f>
        <v/>
      </c>
      <c r="F245" s="4" t="str">
        <f aca="false">IF($A245="","",P6_Export!$C245)</f>
        <v/>
      </c>
      <c r="G245" s="4" t="str">
        <f aca="false">IF($A245="","",IF($D245="deterministic",0,ROUND(P6_Export!$C245*說明!$C$23,1)))</f>
        <v/>
      </c>
    </row>
    <row r="246" customFormat="false" ht="15" hidden="false" customHeight="false" outlineLevel="0" collapsed="false">
      <c r="A246" s="4" t="str">
        <f aca="false">IF(TRIM(P6_Export!A246)="","",TRIM(P6_Export!A246))</f>
        <v/>
      </c>
      <c r="B246" s="4" t="str">
        <f aca="false">IF($A246="","",P6_Export!B246)</f>
        <v/>
      </c>
      <c r="C246" s="4" t="str">
        <f aca="false">IF($A246="","",SUBSTITUTE(SUBSTITUTE(TRIM(P6_Export!D246)," ",""),",",";"))</f>
        <v/>
      </c>
      <c r="D246" s="4" t="str">
        <f aca="false">IF($A246="","",IF(P6_Export!$C246=0,"deterministic","triangular"))</f>
        <v/>
      </c>
      <c r="E246" s="4" t="str">
        <f aca="false">IF($A246="","",IF($D246="deterministic",0,ROUND(P6_Export!$C246*說明!$C$22,1)))</f>
        <v/>
      </c>
      <c r="F246" s="4" t="str">
        <f aca="false">IF($A246="","",P6_Export!$C246)</f>
        <v/>
      </c>
      <c r="G246" s="4" t="str">
        <f aca="false">IF($A246="","",IF($D246="deterministic",0,ROUND(P6_Export!$C246*說明!$C$23,1)))</f>
        <v/>
      </c>
    </row>
    <row r="247" customFormat="false" ht="15" hidden="false" customHeight="false" outlineLevel="0" collapsed="false">
      <c r="A247" s="4" t="str">
        <f aca="false">IF(TRIM(P6_Export!A247)="","",TRIM(P6_Export!A247))</f>
        <v/>
      </c>
      <c r="B247" s="4" t="str">
        <f aca="false">IF($A247="","",P6_Export!B247)</f>
        <v/>
      </c>
      <c r="C247" s="4" t="str">
        <f aca="false">IF($A247="","",SUBSTITUTE(SUBSTITUTE(TRIM(P6_Export!D247)," ",""),",",";"))</f>
        <v/>
      </c>
      <c r="D247" s="4" t="str">
        <f aca="false">IF($A247="","",IF(P6_Export!$C247=0,"deterministic","triangular"))</f>
        <v/>
      </c>
      <c r="E247" s="4" t="str">
        <f aca="false">IF($A247="","",IF($D247="deterministic",0,ROUND(P6_Export!$C247*說明!$C$22,1)))</f>
        <v/>
      </c>
      <c r="F247" s="4" t="str">
        <f aca="false">IF($A247="","",P6_Export!$C247)</f>
        <v/>
      </c>
      <c r="G247" s="4" t="str">
        <f aca="false">IF($A247="","",IF($D247="deterministic",0,ROUND(P6_Export!$C247*說明!$C$23,1)))</f>
        <v/>
      </c>
    </row>
    <row r="248" customFormat="false" ht="15" hidden="false" customHeight="false" outlineLevel="0" collapsed="false">
      <c r="A248" s="4" t="str">
        <f aca="false">IF(TRIM(P6_Export!A248)="","",TRIM(P6_Export!A248))</f>
        <v/>
      </c>
      <c r="B248" s="4" t="str">
        <f aca="false">IF($A248="","",P6_Export!B248)</f>
        <v/>
      </c>
      <c r="C248" s="4" t="str">
        <f aca="false">IF($A248="","",SUBSTITUTE(SUBSTITUTE(TRIM(P6_Export!D248)," ",""),",",";"))</f>
        <v/>
      </c>
      <c r="D248" s="4" t="str">
        <f aca="false">IF($A248="","",IF(P6_Export!$C248=0,"deterministic","triangular"))</f>
        <v/>
      </c>
      <c r="E248" s="4" t="str">
        <f aca="false">IF($A248="","",IF($D248="deterministic",0,ROUND(P6_Export!$C248*說明!$C$22,1)))</f>
        <v/>
      </c>
      <c r="F248" s="4" t="str">
        <f aca="false">IF($A248="","",P6_Export!$C248)</f>
        <v/>
      </c>
      <c r="G248" s="4" t="str">
        <f aca="false">IF($A248="","",IF($D248="deterministic",0,ROUND(P6_Export!$C248*說明!$C$23,1)))</f>
        <v/>
      </c>
    </row>
    <row r="249" customFormat="false" ht="15" hidden="false" customHeight="false" outlineLevel="0" collapsed="false">
      <c r="A249" s="4" t="str">
        <f aca="false">IF(TRIM(P6_Export!A249)="","",TRIM(P6_Export!A249))</f>
        <v/>
      </c>
      <c r="B249" s="4" t="str">
        <f aca="false">IF($A249="","",P6_Export!B249)</f>
        <v/>
      </c>
      <c r="C249" s="4" t="str">
        <f aca="false">IF($A249="","",SUBSTITUTE(SUBSTITUTE(TRIM(P6_Export!D249)," ",""),",",";"))</f>
        <v/>
      </c>
      <c r="D249" s="4" t="str">
        <f aca="false">IF($A249="","",IF(P6_Export!$C249=0,"deterministic","triangular"))</f>
        <v/>
      </c>
      <c r="E249" s="4" t="str">
        <f aca="false">IF($A249="","",IF($D249="deterministic",0,ROUND(P6_Export!$C249*說明!$C$22,1)))</f>
        <v/>
      </c>
      <c r="F249" s="4" t="str">
        <f aca="false">IF($A249="","",P6_Export!$C249)</f>
        <v/>
      </c>
      <c r="G249" s="4" t="str">
        <f aca="false">IF($A249="","",IF($D249="deterministic",0,ROUND(P6_Export!$C249*說明!$C$23,1)))</f>
        <v/>
      </c>
    </row>
    <row r="250" customFormat="false" ht="15" hidden="false" customHeight="false" outlineLevel="0" collapsed="false">
      <c r="A250" s="4" t="str">
        <f aca="false">IF(TRIM(P6_Export!A250)="","",TRIM(P6_Export!A250))</f>
        <v/>
      </c>
      <c r="B250" s="4" t="str">
        <f aca="false">IF($A250="","",P6_Export!B250)</f>
        <v/>
      </c>
      <c r="C250" s="4" t="str">
        <f aca="false">IF($A250="","",SUBSTITUTE(SUBSTITUTE(TRIM(P6_Export!D250)," ",""),",",";"))</f>
        <v/>
      </c>
      <c r="D250" s="4" t="str">
        <f aca="false">IF($A250="","",IF(P6_Export!$C250=0,"deterministic","triangular"))</f>
        <v/>
      </c>
      <c r="E250" s="4" t="str">
        <f aca="false">IF($A250="","",IF($D250="deterministic",0,ROUND(P6_Export!$C250*說明!$C$22,1)))</f>
        <v/>
      </c>
      <c r="F250" s="4" t="str">
        <f aca="false">IF($A250="","",P6_Export!$C250)</f>
        <v/>
      </c>
      <c r="G250" s="4" t="str">
        <f aca="false">IF($A250="","",IF($D250="deterministic",0,ROUND(P6_Export!$C250*說明!$C$23,1)))</f>
        <v/>
      </c>
    </row>
    <row r="251" customFormat="false" ht="15" hidden="false" customHeight="false" outlineLevel="0" collapsed="false">
      <c r="A251" s="4" t="str">
        <f aca="false">IF(TRIM(P6_Export!A251)="","",TRIM(P6_Export!A251))</f>
        <v/>
      </c>
      <c r="B251" s="4" t="str">
        <f aca="false">IF($A251="","",P6_Export!B251)</f>
        <v/>
      </c>
      <c r="C251" s="4" t="str">
        <f aca="false">IF($A251="","",SUBSTITUTE(SUBSTITUTE(TRIM(P6_Export!D251)," ",""),",",";"))</f>
        <v/>
      </c>
      <c r="D251" s="4" t="str">
        <f aca="false">IF($A251="","",IF(P6_Export!$C251=0,"deterministic","triangular"))</f>
        <v/>
      </c>
      <c r="E251" s="4" t="str">
        <f aca="false">IF($A251="","",IF($D251="deterministic",0,ROUND(P6_Export!$C251*說明!$C$22,1)))</f>
        <v/>
      </c>
      <c r="F251" s="4" t="str">
        <f aca="false">IF($A251="","",P6_Export!$C251)</f>
        <v/>
      </c>
      <c r="G251" s="4" t="str">
        <f aca="false">IF($A251="","",IF($D251="deterministic",0,ROUND(P6_Export!$C251*說明!$C$23,1)))</f>
        <v/>
      </c>
    </row>
    <row r="252" customFormat="false" ht="15" hidden="false" customHeight="false" outlineLevel="0" collapsed="false">
      <c r="A252" s="4" t="str">
        <f aca="false">IF(TRIM(P6_Export!A252)="","",TRIM(P6_Export!A252))</f>
        <v/>
      </c>
      <c r="B252" s="4" t="str">
        <f aca="false">IF($A252="","",P6_Export!B252)</f>
        <v/>
      </c>
      <c r="C252" s="4" t="str">
        <f aca="false">IF($A252="","",SUBSTITUTE(SUBSTITUTE(TRIM(P6_Export!D252)," ",""),",",";"))</f>
        <v/>
      </c>
      <c r="D252" s="4" t="str">
        <f aca="false">IF($A252="","",IF(P6_Export!$C252=0,"deterministic","triangular"))</f>
        <v/>
      </c>
      <c r="E252" s="4" t="str">
        <f aca="false">IF($A252="","",IF($D252="deterministic",0,ROUND(P6_Export!$C252*說明!$C$22,1)))</f>
        <v/>
      </c>
      <c r="F252" s="4" t="str">
        <f aca="false">IF($A252="","",P6_Export!$C252)</f>
        <v/>
      </c>
      <c r="G252" s="4" t="str">
        <f aca="false">IF($A252="","",IF($D252="deterministic",0,ROUND(P6_Export!$C252*說明!$C$23,1)))</f>
        <v/>
      </c>
    </row>
    <row r="253" customFormat="false" ht="15" hidden="false" customHeight="false" outlineLevel="0" collapsed="false">
      <c r="A253" s="4" t="str">
        <f aca="false">IF(TRIM(P6_Export!A253)="","",TRIM(P6_Export!A253))</f>
        <v/>
      </c>
      <c r="B253" s="4" t="str">
        <f aca="false">IF($A253="","",P6_Export!B253)</f>
        <v/>
      </c>
      <c r="C253" s="4" t="str">
        <f aca="false">IF($A253="","",SUBSTITUTE(SUBSTITUTE(TRIM(P6_Export!D253)," ",""),",",";"))</f>
        <v/>
      </c>
      <c r="D253" s="4" t="str">
        <f aca="false">IF($A253="","",IF(P6_Export!$C253=0,"deterministic","triangular"))</f>
        <v/>
      </c>
      <c r="E253" s="4" t="str">
        <f aca="false">IF($A253="","",IF($D253="deterministic",0,ROUND(P6_Export!$C253*說明!$C$22,1)))</f>
        <v/>
      </c>
      <c r="F253" s="4" t="str">
        <f aca="false">IF($A253="","",P6_Export!$C253)</f>
        <v/>
      </c>
      <c r="G253" s="4" t="str">
        <f aca="false">IF($A253="","",IF($D253="deterministic",0,ROUND(P6_Export!$C253*說明!$C$23,1)))</f>
        <v/>
      </c>
    </row>
    <row r="254" customFormat="false" ht="15" hidden="false" customHeight="false" outlineLevel="0" collapsed="false">
      <c r="A254" s="4" t="str">
        <f aca="false">IF(TRIM(P6_Export!A254)="","",TRIM(P6_Export!A254))</f>
        <v/>
      </c>
      <c r="B254" s="4" t="str">
        <f aca="false">IF($A254="","",P6_Export!B254)</f>
        <v/>
      </c>
      <c r="C254" s="4" t="str">
        <f aca="false">IF($A254="","",SUBSTITUTE(SUBSTITUTE(TRIM(P6_Export!D254)," ",""),",",";"))</f>
        <v/>
      </c>
      <c r="D254" s="4" t="str">
        <f aca="false">IF($A254="","",IF(P6_Export!$C254=0,"deterministic","triangular"))</f>
        <v/>
      </c>
      <c r="E254" s="4" t="str">
        <f aca="false">IF($A254="","",IF($D254="deterministic",0,ROUND(P6_Export!$C254*說明!$C$22,1)))</f>
        <v/>
      </c>
      <c r="F254" s="4" t="str">
        <f aca="false">IF($A254="","",P6_Export!$C254)</f>
        <v/>
      </c>
      <c r="G254" s="4" t="str">
        <f aca="false">IF($A254="","",IF($D254="deterministic",0,ROUND(P6_Export!$C254*說明!$C$23,1)))</f>
        <v/>
      </c>
    </row>
    <row r="255" customFormat="false" ht="15" hidden="false" customHeight="false" outlineLevel="0" collapsed="false">
      <c r="A255" s="4" t="str">
        <f aca="false">IF(TRIM(P6_Export!A255)="","",TRIM(P6_Export!A255))</f>
        <v/>
      </c>
      <c r="B255" s="4" t="str">
        <f aca="false">IF($A255="","",P6_Export!B255)</f>
        <v/>
      </c>
      <c r="C255" s="4" t="str">
        <f aca="false">IF($A255="","",SUBSTITUTE(SUBSTITUTE(TRIM(P6_Export!D255)," ",""),",",";"))</f>
        <v/>
      </c>
      <c r="D255" s="4" t="str">
        <f aca="false">IF($A255="","",IF(P6_Export!$C255=0,"deterministic","triangular"))</f>
        <v/>
      </c>
      <c r="E255" s="4" t="str">
        <f aca="false">IF($A255="","",IF($D255="deterministic",0,ROUND(P6_Export!$C255*說明!$C$22,1)))</f>
        <v/>
      </c>
      <c r="F255" s="4" t="str">
        <f aca="false">IF($A255="","",P6_Export!$C255)</f>
        <v/>
      </c>
      <c r="G255" s="4" t="str">
        <f aca="false">IF($A255="","",IF($D255="deterministic",0,ROUND(P6_Export!$C255*說明!$C$23,1)))</f>
        <v/>
      </c>
    </row>
    <row r="256" customFormat="false" ht="15" hidden="false" customHeight="false" outlineLevel="0" collapsed="false">
      <c r="A256" s="4" t="str">
        <f aca="false">IF(TRIM(P6_Export!A256)="","",TRIM(P6_Export!A256))</f>
        <v/>
      </c>
      <c r="B256" s="4" t="str">
        <f aca="false">IF($A256="","",P6_Export!B256)</f>
        <v/>
      </c>
      <c r="C256" s="4" t="str">
        <f aca="false">IF($A256="","",SUBSTITUTE(SUBSTITUTE(TRIM(P6_Export!D256)," ",""),",",";"))</f>
        <v/>
      </c>
      <c r="D256" s="4" t="str">
        <f aca="false">IF($A256="","",IF(P6_Export!$C256=0,"deterministic","triangular"))</f>
        <v/>
      </c>
      <c r="E256" s="4" t="str">
        <f aca="false">IF($A256="","",IF($D256="deterministic",0,ROUND(P6_Export!$C256*說明!$C$22,1)))</f>
        <v/>
      </c>
      <c r="F256" s="4" t="str">
        <f aca="false">IF($A256="","",P6_Export!$C256)</f>
        <v/>
      </c>
      <c r="G256" s="4" t="str">
        <f aca="false">IF($A256="","",IF($D256="deterministic",0,ROUND(P6_Export!$C256*說明!$C$23,1)))</f>
        <v/>
      </c>
    </row>
    <row r="257" customFormat="false" ht="15" hidden="false" customHeight="false" outlineLevel="0" collapsed="false">
      <c r="A257" s="4" t="str">
        <f aca="false">IF(TRIM(P6_Export!A257)="","",TRIM(P6_Export!A257))</f>
        <v/>
      </c>
      <c r="B257" s="4" t="str">
        <f aca="false">IF($A257="","",P6_Export!B257)</f>
        <v/>
      </c>
      <c r="C257" s="4" t="str">
        <f aca="false">IF($A257="","",SUBSTITUTE(SUBSTITUTE(TRIM(P6_Export!D257)," ",""),",",";"))</f>
        <v/>
      </c>
      <c r="D257" s="4" t="str">
        <f aca="false">IF($A257="","",IF(P6_Export!$C257=0,"deterministic","triangular"))</f>
        <v/>
      </c>
      <c r="E257" s="4" t="str">
        <f aca="false">IF($A257="","",IF($D257="deterministic",0,ROUND(P6_Export!$C257*說明!$C$22,1)))</f>
        <v/>
      </c>
      <c r="F257" s="4" t="str">
        <f aca="false">IF($A257="","",P6_Export!$C257)</f>
        <v/>
      </c>
      <c r="G257" s="4" t="str">
        <f aca="false">IF($A257="","",IF($D257="deterministic",0,ROUND(P6_Export!$C257*說明!$C$23,1)))</f>
        <v/>
      </c>
    </row>
    <row r="258" customFormat="false" ht="15" hidden="false" customHeight="false" outlineLevel="0" collapsed="false">
      <c r="A258" s="4" t="str">
        <f aca="false">IF(TRIM(P6_Export!A258)="","",TRIM(P6_Export!A258))</f>
        <v/>
      </c>
      <c r="B258" s="4" t="str">
        <f aca="false">IF($A258="","",P6_Export!B258)</f>
        <v/>
      </c>
      <c r="C258" s="4" t="str">
        <f aca="false">IF($A258="","",SUBSTITUTE(SUBSTITUTE(TRIM(P6_Export!D258)," ",""),",",";"))</f>
        <v/>
      </c>
      <c r="D258" s="4" t="str">
        <f aca="false">IF($A258="","",IF(P6_Export!$C258=0,"deterministic","triangular"))</f>
        <v/>
      </c>
      <c r="E258" s="4" t="str">
        <f aca="false">IF($A258="","",IF($D258="deterministic",0,ROUND(P6_Export!$C258*說明!$C$22,1)))</f>
        <v/>
      </c>
      <c r="F258" s="4" t="str">
        <f aca="false">IF($A258="","",P6_Export!$C258)</f>
        <v/>
      </c>
      <c r="G258" s="4" t="str">
        <f aca="false">IF($A258="","",IF($D258="deterministic",0,ROUND(P6_Export!$C258*說明!$C$23,1)))</f>
        <v/>
      </c>
    </row>
    <row r="259" customFormat="false" ht="15" hidden="false" customHeight="false" outlineLevel="0" collapsed="false">
      <c r="A259" s="4" t="str">
        <f aca="false">IF(TRIM(P6_Export!A259)="","",TRIM(P6_Export!A259))</f>
        <v/>
      </c>
      <c r="B259" s="4" t="str">
        <f aca="false">IF($A259="","",P6_Export!B259)</f>
        <v/>
      </c>
      <c r="C259" s="4" t="str">
        <f aca="false">IF($A259="","",SUBSTITUTE(SUBSTITUTE(TRIM(P6_Export!D259)," ",""),",",";"))</f>
        <v/>
      </c>
      <c r="D259" s="4" t="str">
        <f aca="false">IF($A259="","",IF(P6_Export!$C259=0,"deterministic","triangular"))</f>
        <v/>
      </c>
      <c r="E259" s="4" t="str">
        <f aca="false">IF($A259="","",IF($D259="deterministic",0,ROUND(P6_Export!$C259*說明!$C$22,1)))</f>
        <v/>
      </c>
      <c r="F259" s="4" t="str">
        <f aca="false">IF($A259="","",P6_Export!$C259)</f>
        <v/>
      </c>
      <c r="G259" s="4" t="str">
        <f aca="false">IF($A259="","",IF($D259="deterministic",0,ROUND(P6_Export!$C259*說明!$C$23,1)))</f>
        <v/>
      </c>
    </row>
    <row r="260" customFormat="false" ht="15" hidden="false" customHeight="false" outlineLevel="0" collapsed="false">
      <c r="A260" s="4" t="str">
        <f aca="false">IF(TRIM(P6_Export!A260)="","",TRIM(P6_Export!A260))</f>
        <v/>
      </c>
      <c r="B260" s="4" t="str">
        <f aca="false">IF($A260="","",P6_Export!B260)</f>
        <v/>
      </c>
      <c r="C260" s="4" t="str">
        <f aca="false">IF($A260="","",SUBSTITUTE(SUBSTITUTE(TRIM(P6_Export!D260)," ",""),",",";"))</f>
        <v/>
      </c>
      <c r="D260" s="4" t="str">
        <f aca="false">IF($A260="","",IF(P6_Export!$C260=0,"deterministic","triangular"))</f>
        <v/>
      </c>
      <c r="E260" s="4" t="str">
        <f aca="false">IF($A260="","",IF($D260="deterministic",0,ROUND(P6_Export!$C260*說明!$C$22,1)))</f>
        <v/>
      </c>
      <c r="F260" s="4" t="str">
        <f aca="false">IF($A260="","",P6_Export!$C260)</f>
        <v/>
      </c>
      <c r="G260" s="4" t="str">
        <f aca="false">IF($A260="","",IF($D260="deterministic",0,ROUND(P6_Export!$C260*說明!$C$23,1)))</f>
        <v/>
      </c>
    </row>
    <row r="261" customFormat="false" ht="15" hidden="false" customHeight="false" outlineLevel="0" collapsed="false">
      <c r="A261" s="4" t="str">
        <f aca="false">IF(TRIM(P6_Export!A261)="","",TRIM(P6_Export!A261))</f>
        <v/>
      </c>
      <c r="B261" s="4" t="str">
        <f aca="false">IF($A261="","",P6_Export!B261)</f>
        <v/>
      </c>
      <c r="C261" s="4" t="str">
        <f aca="false">IF($A261="","",SUBSTITUTE(SUBSTITUTE(TRIM(P6_Export!D261)," ",""),",",";"))</f>
        <v/>
      </c>
      <c r="D261" s="4" t="str">
        <f aca="false">IF($A261="","",IF(P6_Export!$C261=0,"deterministic","triangular"))</f>
        <v/>
      </c>
      <c r="E261" s="4" t="str">
        <f aca="false">IF($A261="","",IF($D261="deterministic",0,ROUND(P6_Export!$C261*說明!$C$22,1)))</f>
        <v/>
      </c>
      <c r="F261" s="4" t="str">
        <f aca="false">IF($A261="","",P6_Export!$C261)</f>
        <v/>
      </c>
      <c r="G261" s="4" t="str">
        <f aca="false">IF($A261="","",IF($D261="deterministic",0,ROUND(P6_Export!$C261*說明!$C$23,1)))</f>
        <v/>
      </c>
    </row>
    <row r="262" customFormat="false" ht="15" hidden="false" customHeight="false" outlineLevel="0" collapsed="false">
      <c r="A262" s="4" t="str">
        <f aca="false">IF(TRIM(P6_Export!A262)="","",TRIM(P6_Export!A262))</f>
        <v/>
      </c>
      <c r="B262" s="4" t="str">
        <f aca="false">IF($A262="","",P6_Export!B262)</f>
        <v/>
      </c>
      <c r="C262" s="4" t="str">
        <f aca="false">IF($A262="","",SUBSTITUTE(SUBSTITUTE(TRIM(P6_Export!D262)," ",""),",",";"))</f>
        <v/>
      </c>
      <c r="D262" s="4" t="str">
        <f aca="false">IF($A262="","",IF(P6_Export!$C262=0,"deterministic","triangular"))</f>
        <v/>
      </c>
      <c r="E262" s="4" t="str">
        <f aca="false">IF($A262="","",IF($D262="deterministic",0,ROUND(P6_Export!$C262*說明!$C$22,1)))</f>
        <v/>
      </c>
      <c r="F262" s="4" t="str">
        <f aca="false">IF($A262="","",P6_Export!$C262)</f>
        <v/>
      </c>
      <c r="G262" s="4" t="str">
        <f aca="false">IF($A262="","",IF($D262="deterministic",0,ROUND(P6_Export!$C262*說明!$C$23,1)))</f>
        <v/>
      </c>
    </row>
    <row r="263" customFormat="false" ht="15" hidden="false" customHeight="false" outlineLevel="0" collapsed="false">
      <c r="A263" s="4" t="str">
        <f aca="false">IF(TRIM(P6_Export!A263)="","",TRIM(P6_Export!A263))</f>
        <v/>
      </c>
      <c r="B263" s="4" t="str">
        <f aca="false">IF($A263="","",P6_Export!B263)</f>
        <v/>
      </c>
      <c r="C263" s="4" t="str">
        <f aca="false">IF($A263="","",SUBSTITUTE(SUBSTITUTE(TRIM(P6_Export!D263)," ",""),",",";"))</f>
        <v/>
      </c>
      <c r="D263" s="4" t="str">
        <f aca="false">IF($A263="","",IF(P6_Export!$C263=0,"deterministic","triangular"))</f>
        <v/>
      </c>
      <c r="E263" s="4" t="str">
        <f aca="false">IF($A263="","",IF($D263="deterministic",0,ROUND(P6_Export!$C263*說明!$C$22,1)))</f>
        <v/>
      </c>
      <c r="F263" s="4" t="str">
        <f aca="false">IF($A263="","",P6_Export!$C263)</f>
        <v/>
      </c>
      <c r="G263" s="4" t="str">
        <f aca="false">IF($A263="","",IF($D263="deterministic",0,ROUND(P6_Export!$C263*說明!$C$23,1)))</f>
        <v/>
      </c>
    </row>
    <row r="264" customFormat="false" ht="15" hidden="false" customHeight="false" outlineLevel="0" collapsed="false">
      <c r="A264" s="4" t="str">
        <f aca="false">IF(TRIM(P6_Export!A264)="","",TRIM(P6_Export!A264))</f>
        <v/>
      </c>
      <c r="B264" s="4" t="str">
        <f aca="false">IF($A264="","",P6_Export!B264)</f>
        <v/>
      </c>
      <c r="C264" s="4" t="str">
        <f aca="false">IF($A264="","",SUBSTITUTE(SUBSTITUTE(TRIM(P6_Export!D264)," ",""),",",";"))</f>
        <v/>
      </c>
      <c r="D264" s="4" t="str">
        <f aca="false">IF($A264="","",IF(P6_Export!$C264=0,"deterministic","triangular"))</f>
        <v/>
      </c>
      <c r="E264" s="4" t="str">
        <f aca="false">IF($A264="","",IF($D264="deterministic",0,ROUND(P6_Export!$C264*說明!$C$22,1)))</f>
        <v/>
      </c>
      <c r="F264" s="4" t="str">
        <f aca="false">IF($A264="","",P6_Export!$C264)</f>
        <v/>
      </c>
      <c r="G264" s="4" t="str">
        <f aca="false">IF($A264="","",IF($D264="deterministic",0,ROUND(P6_Export!$C264*說明!$C$23,1)))</f>
        <v/>
      </c>
    </row>
    <row r="265" customFormat="false" ht="15" hidden="false" customHeight="false" outlineLevel="0" collapsed="false">
      <c r="A265" s="4" t="str">
        <f aca="false">IF(TRIM(P6_Export!A265)="","",TRIM(P6_Export!A265))</f>
        <v/>
      </c>
      <c r="B265" s="4" t="str">
        <f aca="false">IF($A265="","",P6_Export!B265)</f>
        <v/>
      </c>
      <c r="C265" s="4" t="str">
        <f aca="false">IF($A265="","",SUBSTITUTE(SUBSTITUTE(TRIM(P6_Export!D265)," ",""),",",";"))</f>
        <v/>
      </c>
      <c r="D265" s="4" t="str">
        <f aca="false">IF($A265="","",IF(P6_Export!$C265=0,"deterministic","triangular"))</f>
        <v/>
      </c>
      <c r="E265" s="4" t="str">
        <f aca="false">IF($A265="","",IF($D265="deterministic",0,ROUND(P6_Export!$C265*說明!$C$22,1)))</f>
        <v/>
      </c>
      <c r="F265" s="4" t="str">
        <f aca="false">IF($A265="","",P6_Export!$C265)</f>
        <v/>
      </c>
      <c r="G265" s="4" t="str">
        <f aca="false">IF($A265="","",IF($D265="deterministic",0,ROUND(P6_Export!$C265*說明!$C$23,1)))</f>
        <v/>
      </c>
    </row>
    <row r="266" customFormat="false" ht="15" hidden="false" customHeight="false" outlineLevel="0" collapsed="false">
      <c r="A266" s="4" t="str">
        <f aca="false">IF(TRIM(P6_Export!A266)="","",TRIM(P6_Export!A266))</f>
        <v/>
      </c>
      <c r="B266" s="4" t="str">
        <f aca="false">IF($A266="","",P6_Export!B266)</f>
        <v/>
      </c>
      <c r="C266" s="4" t="str">
        <f aca="false">IF($A266="","",SUBSTITUTE(SUBSTITUTE(TRIM(P6_Export!D266)," ",""),",",";"))</f>
        <v/>
      </c>
      <c r="D266" s="4" t="str">
        <f aca="false">IF($A266="","",IF(P6_Export!$C266=0,"deterministic","triangular"))</f>
        <v/>
      </c>
      <c r="E266" s="4" t="str">
        <f aca="false">IF($A266="","",IF($D266="deterministic",0,ROUND(P6_Export!$C266*說明!$C$22,1)))</f>
        <v/>
      </c>
      <c r="F266" s="4" t="str">
        <f aca="false">IF($A266="","",P6_Export!$C266)</f>
        <v/>
      </c>
      <c r="G266" s="4" t="str">
        <f aca="false">IF($A266="","",IF($D266="deterministic",0,ROUND(P6_Export!$C266*說明!$C$23,1)))</f>
        <v/>
      </c>
    </row>
    <row r="267" customFormat="false" ht="15" hidden="false" customHeight="false" outlineLevel="0" collapsed="false">
      <c r="A267" s="4" t="str">
        <f aca="false">IF(TRIM(P6_Export!A267)="","",TRIM(P6_Export!A267))</f>
        <v/>
      </c>
      <c r="B267" s="4" t="str">
        <f aca="false">IF($A267="","",P6_Export!B267)</f>
        <v/>
      </c>
      <c r="C267" s="4" t="str">
        <f aca="false">IF($A267="","",SUBSTITUTE(SUBSTITUTE(TRIM(P6_Export!D267)," ",""),",",";"))</f>
        <v/>
      </c>
      <c r="D267" s="4" t="str">
        <f aca="false">IF($A267="","",IF(P6_Export!$C267=0,"deterministic","triangular"))</f>
        <v/>
      </c>
      <c r="E267" s="4" t="str">
        <f aca="false">IF($A267="","",IF($D267="deterministic",0,ROUND(P6_Export!$C267*說明!$C$22,1)))</f>
        <v/>
      </c>
      <c r="F267" s="4" t="str">
        <f aca="false">IF($A267="","",P6_Export!$C267)</f>
        <v/>
      </c>
      <c r="G267" s="4" t="str">
        <f aca="false">IF($A267="","",IF($D267="deterministic",0,ROUND(P6_Export!$C267*說明!$C$23,1)))</f>
        <v/>
      </c>
    </row>
    <row r="268" customFormat="false" ht="15" hidden="false" customHeight="false" outlineLevel="0" collapsed="false">
      <c r="A268" s="4" t="str">
        <f aca="false">IF(TRIM(P6_Export!A268)="","",TRIM(P6_Export!A268))</f>
        <v/>
      </c>
      <c r="B268" s="4" t="str">
        <f aca="false">IF($A268="","",P6_Export!B268)</f>
        <v/>
      </c>
      <c r="C268" s="4" t="str">
        <f aca="false">IF($A268="","",SUBSTITUTE(SUBSTITUTE(TRIM(P6_Export!D268)," ",""),",",";"))</f>
        <v/>
      </c>
      <c r="D268" s="4" t="str">
        <f aca="false">IF($A268="","",IF(P6_Export!$C268=0,"deterministic","triangular"))</f>
        <v/>
      </c>
      <c r="E268" s="4" t="str">
        <f aca="false">IF($A268="","",IF($D268="deterministic",0,ROUND(P6_Export!$C268*說明!$C$22,1)))</f>
        <v/>
      </c>
      <c r="F268" s="4" t="str">
        <f aca="false">IF($A268="","",P6_Export!$C268)</f>
        <v/>
      </c>
      <c r="G268" s="4" t="str">
        <f aca="false">IF($A268="","",IF($D268="deterministic",0,ROUND(P6_Export!$C268*說明!$C$23,1)))</f>
        <v/>
      </c>
    </row>
    <row r="269" customFormat="false" ht="15" hidden="false" customHeight="false" outlineLevel="0" collapsed="false">
      <c r="A269" s="4" t="str">
        <f aca="false">IF(TRIM(P6_Export!A269)="","",TRIM(P6_Export!A269))</f>
        <v/>
      </c>
      <c r="B269" s="4" t="str">
        <f aca="false">IF($A269="","",P6_Export!B269)</f>
        <v/>
      </c>
      <c r="C269" s="4" t="str">
        <f aca="false">IF($A269="","",SUBSTITUTE(SUBSTITUTE(TRIM(P6_Export!D269)," ",""),",",";"))</f>
        <v/>
      </c>
      <c r="D269" s="4" t="str">
        <f aca="false">IF($A269="","",IF(P6_Export!$C269=0,"deterministic","triangular"))</f>
        <v/>
      </c>
      <c r="E269" s="4" t="str">
        <f aca="false">IF($A269="","",IF($D269="deterministic",0,ROUND(P6_Export!$C269*說明!$C$22,1)))</f>
        <v/>
      </c>
      <c r="F269" s="4" t="str">
        <f aca="false">IF($A269="","",P6_Export!$C269)</f>
        <v/>
      </c>
      <c r="G269" s="4" t="str">
        <f aca="false">IF($A269="","",IF($D269="deterministic",0,ROUND(P6_Export!$C269*說明!$C$23,1)))</f>
        <v/>
      </c>
    </row>
    <row r="270" customFormat="false" ht="15" hidden="false" customHeight="false" outlineLevel="0" collapsed="false">
      <c r="A270" s="4" t="str">
        <f aca="false">IF(TRIM(P6_Export!A270)="","",TRIM(P6_Export!A270))</f>
        <v/>
      </c>
      <c r="B270" s="4" t="str">
        <f aca="false">IF($A270="","",P6_Export!B270)</f>
        <v/>
      </c>
      <c r="C270" s="4" t="str">
        <f aca="false">IF($A270="","",SUBSTITUTE(SUBSTITUTE(TRIM(P6_Export!D270)," ",""),",",";"))</f>
        <v/>
      </c>
      <c r="D270" s="4" t="str">
        <f aca="false">IF($A270="","",IF(P6_Export!$C270=0,"deterministic","triangular"))</f>
        <v/>
      </c>
      <c r="E270" s="4" t="str">
        <f aca="false">IF($A270="","",IF($D270="deterministic",0,ROUND(P6_Export!$C270*說明!$C$22,1)))</f>
        <v/>
      </c>
      <c r="F270" s="4" t="str">
        <f aca="false">IF($A270="","",P6_Export!$C270)</f>
        <v/>
      </c>
      <c r="G270" s="4" t="str">
        <f aca="false">IF($A270="","",IF($D270="deterministic",0,ROUND(P6_Export!$C270*說明!$C$23,1)))</f>
        <v/>
      </c>
    </row>
    <row r="271" customFormat="false" ht="15" hidden="false" customHeight="false" outlineLevel="0" collapsed="false">
      <c r="A271" s="4" t="str">
        <f aca="false">IF(TRIM(P6_Export!A271)="","",TRIM(P6_Export!A271))</f>
        <v/>
      </c>
      <c r="B271" s="4" t="str">
        <f aca="false">IF($A271="","",P6_Export!B271)</f>
        <v/>
      </c>
      <c r="C271" s="4" t="str">
        <f aca="false">IF($A271="","",SUBSTITUTE(SUBSTITUTE(TRIM(P6_Export!D271)," ",""),",",";"))</f>
        <v/>
      </c>
      <c r="D271" s="4" t="str">
        <f aca="false">IF($A271="","",IF(P6_Export!$C271=0,"deterministic","triangular"))</f>
        <v/>
      </c>
      <c r="E271" s="4" t="str">
        <f aca="false">IF($A271="","",IF($D271="deterministic",0,ROUND(P6_Export!$C271*說明!$C$22,1)))</f>
        <v/>
      </c>
      <c r="F271" s="4" t="str">
        <f aca="false">IF($A271="","",P6_Export!$C271)</f>
        <v/>
      </c>
      <c r="G271" s="4" t="str">
        <f aca="false">IF($A271="","",IF($D271="deterministic",0,ROUND(P6_Export!$C271*說明!$C$23,1)))</f>
        <v/>
      </c>
    </row>
    <row r="272" customFormat="false" ht="15" hidden="false" customHeight="false" outlineLevel="0" collapsed="false">
      <c r="A272" s="4" t="str">
        <f aca="false">IF(TRIM(P6_Export!A272)="","",TRIM(P6_Export!A272))</f>
        <v/>
      </c>
      <c r="B272" s="4" t="str">
        <f aca="false">IF($A272="","",P6_Export!B272)</f>
        <v/>
      </c>
      <c r="C272" s="4" t="str">
        <f aca="false">IF($A272="","",SUBSTITUTE(SUBSTITUTE(TRIM(P6_Export!D272)," ",""),",",";"))</f>
        <v/>
      </c>
      <c r="D272" s="4" t="str">
        <f aca="false">IF($A272="","",IF(P6_Export!$C272=0,"deterministic","triangular"))</f>
        <v/>
      </c>
      <c r="E272" s="4" t="str">
        <f aca="false">IF($A272="","",IF($D272="deterministic",0,ROUND(P6_Export!$C272*說明!$C$22,1)))</f>
        <v/>
      </c>
      <c r="F272" s="4" t="str">
        <f aca="false">IF($A272="","",P6_Export!$C272)</f>
        <v/>
      </c>
      <c r="G272" s="4" t="str">
        <f aca="false">IF($A272="","",IF($D272="deterministic",0,ROUND(P6_Export!$C272*說明!$C$23,1)))</f>
        <v/>
      </c>
    </row>
    <row r="273" customFormat="false" ht="15" hidden="false" customHeight="false" outlineLevel="0" collapsed="false">
      <c r="A273" s="4" t="str">
        <f aca="false">IF(TRIM(P6_Export!A273)="","",TRIM(P6_Export!A273))</f>
        <v/>
      </c>
      <c r="B273" s="4" t="str">
        <f aca="false">IF($A273="","",P6_Export!B273)</f>
        <v/>
      </c>
      <c r="C273" s="4" t="str">
        <f aca="false">IF($A273="","",SUBSTITUTE(SUBSTITUTE(TRIM(P6_Export!D273)," ",""),",",";"))</f>
        <v/>
      </c>
      <c r="D273" s="4" t="str">
        <f aca="false">IF($A273="","",IF(P6_Export!$C273=0,"deterministic","triangular"))</f>
        <v/>
      </c>
      <c r="E273" s="4" t="str">
        <f aca="false">IF($A273="","",IF($D273="deterministic",0,ROUND(P6_Export!$C273*說明!$C$22,1)))</f>
        <v/>
      </c>
      <c r="F273" s="4" t="str">
        <f aca="false">IF($A273="","",P6_Export!$C273)</f>
        <v/>
      </c>
      <c r="G273" s="4" t="str">
        <f aca="false">IF($A273="","",IF($D273="deterministic",0,ROUND(P6_Export!$C273*說明!$C$23,1)))</f>
        <v/>
      </c>
    </row>
    <row r="274" customFormat="false" ht="15" hidden="false" customHeight="false" outlineLevel="0" collapsed="false">
      <c r="A274" s="4" t="str">
        <f aca="false">IF(TRIM(P6_Export!A274)="","",TRIM(P6_Export!A274))</f>
        <v/>
      </c>
      <c r="B274" s="4" t="str">
        <f aca="false">IF($A274="","",P6_Export!B274)</f>
        <v/>
      </c>
      <c r="C274" s="4" t="str">
        <f aca="false">IF($A274="","",SUBSTITUTE(SUBSTITUTE(TRIM(P6_Export!D274)," ",""),",",";"))</f>
        <v/>
      </c>
      <c r="D274" s="4" t="str">
        <f aca="false">IF($A274="","",IF(P6_Export!$C274=0,"deterministic","triangular"))</f>
        <v/>
      </c>
      <c r="E274" s="4" t="str">
        <f aca="false">IF($A274="","",IF($D274="deterministic",0,ROUND(P6_Export!$C274*說明!$C$22,1)))</f>
        <v/>
      </c>
      <c r="F274" s="4" t="str">
        <f aca="false">IF($A274="","",P6_Export!$C274)</f>
        <v/>
      </c>
      <c r="G274" s="4" t="str">
        <f aca="false">IF($A274="","",IF($D274="deterministic",0,ROUND(P6_Export!$C274*說明!$C$23,1)))</f>
        <v/>
      </c>
    </row>
    <row r="275" customFormat="false" ht="15" hidden="false" customHeight="false" outlineLevel="0" collapsed="false">
      <c r="A275" s="4" t="str">
        <f aca="false">IF(TRIM(P6_Export!A275)="","",TRIM(P6_Export!A275))</f>
        <v/>
      </c>
      <c r="B275" s="4" t="str">
        <f aca="false">IF($A275="","",P6_Export!B275)</f>
        <v/>
      </c>
      <c r="C275" s="4" t="str">
        <f aca="false">IF($A275="","",SUBSTITUTE(SUBSTITUTE(TRIM(P6_Export!D275)," ",""),",",";"))</f>
        <v/>
      </c>
      <c r="D275" s="4" t="str">
        <f aca="false">IF($A275="","",IF(P6_Export!$C275=0,"deterministic","triangular"))</f>
        <v/>
      </c>
      <c r="E275" s="4" t="str">
        <f aca="false">IF($A275="","",IF($D275="deterministic",0,ROUND(P6_Export!$C275*說明!$C$22,1)))</f>
        <v/>
      </c>
      <c r="F275" s="4" t="str">
        <f aca="false">IF($A275="","",P6_Export!$C275)</f>
        <v/>
      </c>
      <c r="G275" s="4" t="str">
        <f aca="false">IF($A275="","",IF($D275="deterministic",0,ROUND(P6_Export!$C275*說明!$C$23,1)))</f>
        <v/>
      </c>
    </row>
    <row r="276" customFormat="false" ht="15" hidden="false" customHeight="false" outlineLevel="0" collapsed="false">
      <c r="A276" s="4" t="str">
        <f aca="false">IF(TRIM(P6_Export!A276)="","",TRIM(P6_Export!A276))</f>
        <v/>
      </c>
      <c r="B276" s="4" t="str">
        <f aca="false">IF($A276="","",P6_Export!B276)</f>
        <v/>
      </c>
      <c r="C276" s="4" t="str">
        <f aca="false">IF($A276="","",SUBSTITUTE(SUBSTITUTE(TRIM(P6_Export!D276)," ",""),",",";"))</f>
        <v/>
      </c>
      <c r="D276" s="4" t="str">
        <f aca="false">IF($A276="","",IF(P6_Export!$C276=0,"deterministic","triangular"))</f>
        <v/>
      </c>
      <c r="E276" s="4" t="str">
        <f aca="false">IF($A276="","",IF($D276="deterministic",0,ROUND(P6_Export!$C276*說明!$C$22,1)))</f>
        <v/>
      </c>
      <c r="F276" s="4" t="str">
        <f aca="false">IF($A276="","",P6_Export!$C276)</f>
        <v/>
      </c>
      <c r="G276" s="4" t="str">
        <f aca="false">IF($A276="","",IF($D276="deterministic",0,ROUND(P6_Export!$C276*說明!$C$23,1)))</f>
        <v/>
      </c>
    </row>
    <row r="277" customFormat="false" ht="15" hidden="false" customHeight="false" outlineLevel="0" collapsed="false">
      <c r="A277" s="4" t="str">
        <f aca="false">IF(TRIM(P6_Export!A277)="","",TRIM(P6_Export!A277))</f>
        <v/>
      </c>
      <c r="B277" s="4" t="str">
        <f aca="false">IF($A277="","",P6_Export!B277)</f>
        <v/>
      </c>
      <c r="C277" s="4" t="str">
        <f aca="false">IF($A277="","",SUBSTITUTE(SUBSTITUTE(TRIM(P6_Export!D277)," ",""),",",";"))</f>
        <v/>
      </c>
      <c r="D277" s="4" t="str">
        <f aca="false">IF($A277="","",IF(P6_Export!$C277=0,"deterministic","triangular"))</f>
        <v/>
      </c>
      <c r="E277" s="4" t="str">
        <f aca="false">IF($A277="","",IF($D277="deterministic",0,ROUND(P6_Export!$C277*說明!$C$22,1)))</f>
        <v/>
      </c>
      <c r="F277" s="4" t="str">
        <f aca="false">IF($A277="","",P6_Export!$C277)</f>
        <v/>
      </c>
      <c r="G277" s="4" t="str">
        <f aca="false">IF($A277="","",IF($D277="deterministic",0,ROUND(P6_Export!$C277*說明!$C$23,1)))</f>
        <v/>
      </c>
    </row>
    <row r="278" customFormat="false" ht="15" hidden="false" customHeight="false" outlineLevel="0" collapsed="false">
      <c r="A278" s="4" t="str">
        <f aca="false">IF(TRIM(P6_Export!A278)="","",TRIM(P6_Export!A278))</f>
        <v/>
      </c>
      <c r="B278" s="4" t="str">
        <f aca="false">IF($A278="","",P6_Export!B278)</f>
        <v/>
      </c>
      <c r="C278" s="4" t="str">
        <f aca="false">IF($A278="","",SUBSTITUTE(SUBSTITUTE(TRIM(P6_Export!D278)," ",""),",",";"))</f>
        <v/>
      </c>
      <c r="D278" s="4" t="str">
        <f aca="false">IF($A278="","",IF(P6_Export!$C278=0,"deterministic","triangular"))</f>
        <v/>
      </c>
      <c r="E278" s="4" t="str">
        <f aca="false">IF($A278="","",IF($D278="deterministic",0,ROUND(P6_Export!$C278*說明!$C$22,1)))</f>
        <v/>
      </c>
      <c r="F278" s="4" t="str">
        <f aca="false">IF($A278="","",P6_Export!$C278)</f>
        <v/>
      </c>
      <c r="G278" s="4" t="str">
        <f aca="false">IF($A278="","",IF($D278="deterministic",0,ROUND(P6_Export!$C278*說明!$C$23,1)))</f>
        <v/>
      </c>
    </row>
    <row r="279" customFormat="false" ht="15" hidden="false" customHeight="false" outlineLevel="0" collapsed="false">
      <c r="A279" s="4" t="str">
        <f aca="false">IF(TRIM(P6_Export!A279)="","",TRIM(P6_Export!A279))</f>
        <v/>
      </c>
      <c r="B279" s="4" t="str">
        <f aca="false">IF($A279="","",P6_Export!B279)</f>
        <v/>
      </c>
      <c r="C279" s="4" t="str">
        <f aca="false">IF($A279="","",SUBSTITUTE(SUBSTITUTE(TRIM(P6_Export!D279)," ",""),",",";"))</f>
        <v/>
      </c>
      <c r="D279" s="4" t="str">
        <f aca="false">IF($A279="","",IF(P6_Export!$C279=0,"deterministic","triangular"))</f>
        <v/>
      </c>
      <c r="E279" s="4" t="str">
        <f aca="false">IF($A279="","",IF($D279="deterministic",0,ROUND(P6_Export!$C279*說明!$C$22,1)))</f>
        <v/>
      </c>
      <c r="F279" s="4" t="str">
        <f aca="false">IF($A279="","",P6_Export!$C279)</f>
        <v/>
      </c>
      <c r="G279" s="4" t="str">
        <f aca="false">IF($A279="","",IF($D279="deterministic",0,ROUND(P6_Export!$C279*說明!$C$23,1)))</f>
        <v/>
      </c>
    </row>
    <row r="280" customFormat="false" ht="15" hidden="false" customHeight="false" outlineLevel="0" collapsed="false">
      <c r="A280" s="4" t="str">
        <f aca="false">IF(TRIM(P6_Export!A280)="","",TRIM(P6_Export!A280))</f>
        <v/>
      </c>
      <c r="B280" s="4" t="str">
        <f aca="false">IF($A280="","",P6_Export!B280)</f>
        <v/>
      </c>
      <c r="C280" s="4" t="str">
        <f aca="false">IF($A280="","",SUBSTITUTE(SUBSTITUTE(TRIM(P6_Export!D280)," ",""),",",";"))</f>
        <v/>
      </c>
      <c r="D280" s="4" t="str">
        <f aca="false">IF($A280="","",IF(P6_Export!$C280=0,"deterministic","triangular"))</f>
        <v/>
      </c>
      <c r="E280" s="4" t="str">
        <f aca="false">IF($A280="","",IF($D280="deterministic",0,ROUND(P6_Export!$C280*說明!$C$22,1)))</f>
        <v/>
      </c>
      <c r="F280" s="4" t="str">
        <f aca="false">IF($A280="","",P6_Export!$C280)</f>
        <v/>
      </c>
      <c r="G280" s="4" t="str">
        <f aca="false">IF($A280="","",IF($D280="deterministic",0,ROUND(P6_Export!$C280*說明!$C$23,1)))</f>
        <v/>
      </c>
    </row>
    <row r="281" customFormat="false" ht="15" hidden="false" customHeight="false" outlineLevel="0" collapsed="false">
      <c r="A281" s="4" t="str">
        <f aca="false">IF(TRIM(P6_Export!A281)="","",TRIM(P6_Export!A281))</f>
        <v/>
      </c>
      <c r="B281" s="4" t="str">
        <f aca="false">IF($A281="","",P6_Export!B281)</f>
        <v/>
      </c>
      <c r="C281" s="4" t="str">
        <f aca="false">IF($A281="","",SUBSTITUTE(SUBSTITUTE(TRIM(P6_Export!D281)," ",""),",",";"))</f>
        <v/>
      </c>
      <c r="D281" s="4" t="str">
        <f aca="false">IF($A281="","",IF(P6_Export!$C281=0,"deterministic","triangular"))</f>
        <v/>
      </c>
      <c r="E281" s="4" t="str">
        <f aca="false">IF($A281="","",IF($D281="deterministic",0,ROUND(P6_Export!$C281*說明!$C$22,1)))</f>
        <v/>
      </c>
      <c r="F281" s="4" t="str">
        <f aca="false">IF($A281="","",P6_Export!$C281)</f>
        <v/>
      </c>
      <c r="G281" s="4" t="str">
        <f aca="false">IF($A281="","",IF($D281="deterministic",0,ROUND(P6_Export!$C281*說明!$C$23,1)))</f>
        <v/>
      </c>
    </row>
    <row r="282" customFormat="false" ht="15" hidden="false" customHeight="false" outlineLevel="0" collapsed="false">
      <c r="A282" s="4" t="str">
        <f aca="false">IF(TRIM(P6_Export!A282)="","",TRIM(P6_Export!A282))</f>
        <v/>
      </c>
      <c r="B282" s="4" t="str">
        <f aca="false">IF($A282="","",P6_Export!B282)</f>
        <v/>
      </c>
      <c r="C282" s="4" t="str">
        <f aca="false">IF($A282="","",SUBSTITUTE(SUBSTITUTE(TRIM(P6_Export!D282)," ",""),",",";"))</f>
        <v/>
      </c>
      <c r="D282" s="4" t="str">
        <f aca="false">IF($A282="","",IF(P6_Export!$C282=0,"deterministic","triangular"))</f>
        <v/>
      </c>
      <c r="E282" s="4" t="str">
        <f aca="false">IF($A282="","",IF($D282="deterministic",0,ROUND(P6_Export!$C282*說明!$C$22,1)))</f>
        <v/>
      </c>
      <c r="F282" s="4" t="str">
        <f aca="false">IF($A282="","",P6_Export!$C282)</f>
        <v/>
      </c>
      <c r="G282" s="4" t="str">
        <f aca="false">IF($A282="","",IF($D282="deterministic",0,ROUND(P6_Export!$C282*說明!$C$23,1)))</f>
        <v/>
      </c>
    </row>
    <row r="283" customFormat="false" ht="15" hidden="false" customHeight="false" outlineLevel="0" collapsed="false">
      <c r="A283" s="4" t="str">
        <f aca="false">IF(TRIM(P6_Export!A283)="","",TRIM(P6_Export!A283))</f>
        <v/>
      </c>
      <c r="B283" s="4" t="str">
        <f aca="false">IF($A283="","",P6_Export!B283)</f>
        <v/>
      </c>
      <c r="C283" s="4" t="str">
        <f aca="false">IF($A283="","",SUBSTITUTE(SUBSTITUTE(TRIM(P6_Export!D283)," ",""),",",";"))</f>
        <v/>
      </c>
      <c r="D283" s="4" t="str">
        <f aca="false">IF($A283="","",IF(P6_Export!$C283=0,"deterministic","triangular"))</f>
        <v/>
      </c>
      <c r="E283" s="4" t="str">
        <f aca="false">IF($A283="","",IF($D283="deterministic",0,ROUND(P6_Export!$C283*說明!$C$22,1)))</f>
        <v/>
      </c>
      <c r="F283" s="4" t="str">
        <f aca="false">IF($A283="","",P6_Export!$C283)</f>
        <v/>
      </c>
      <c r="G283" s="4" t="str">
        <f aca="false">IF($A283="","",IF($D283="deterministic",0,ROUND(P6_Export!$C283*說明!$C$23,1)))</f>
        <v/>
      </c>
    </row>
    <row r="284" customFormat="false" ht="15" hidden="false" customHeight="false" outlineLevel="0" collapsed="false">
      <c r="A284" s="4" t="str">
        <f aca="false">IF(TRIM(P6_Export!A284)="","",TRIM(P6_Export!A284))</f>
        <v/>
      </c>
      <c r="B284" s="4" t="str">
        <f aca="false">IF($A284="","",P6_Export!B284)</f>
        <v/>
      </c>
      <c r="C284" s="4" t="str">
        <f aca="false">IF($A284="","",SUBSTITUTE(SUBSTITUTE(TRIM(P6_Export!D284)," ",""),",",";"))</f>
        <v/>
      </c>
      <c r="D284" s="4" t="str">
        <f aca="false">IF($A284="","",IF(P6_Export!$C284=0,"deterministic","triangular"))</f>
        <v/>
      </c>
      <c r="E284" s="4" t="str">
        <f aca="false">IF($A284="","",IF($D284="deterministic",0,ROUND(P6_Export!$C284*說明!$C$22,1)))</f>
        <v/>
      </c>
      <c r="F284" s="4" t="str">
        <f aca="false">IF($A284="","",P6_Export!$C284)</f>
        <v/>
      </c>
      <c r="G284" s="4" t="str">
        <f aca="false">IF($A284="","",IF($D284="deterministic",0,ROUND(P6_Export!$C284*說明!$C$23,1)))</f>
        <v/>
      </c>
    </row>
    <row r="285" customFormat="false" ht="15" hidden="false" customHeight="false" outlineLevel="0" collapsed="false">
      <c r="A285" s="4" t="str">
        <f aca="false">IF(TRIM(P6_Export!A285)="","",TRIM(P6_Export!A285))</f>
        <v/>
      </c>
      <c r="B285" s="4" t="str">
        <f aca="false">IF($A285="","",P6_Export!B285)</f>
        <v/>
      </c>
      <c r="C285" s="4" t="str">
        <f aca="false">IF($A285="","",SUBSTITUTE(SUBSTITUTE(TRIM(P6_Export!D285)," ",""),",",";"))</f>
        <v/>
      </c>
      <c r="D285" s="4" t="str">
        <f aca="false">IF($A285="","",IF(P6_Export!$C285=0,"deterministic","triangular"))</f>
        <v/>
      </c>
      <c r="E285" s="4" t="str">
        <f aca="false">IF($A285="","",IF($D285="deterministic",0,ROUND(P6_Export!$C285*說明!$C$22,1)))</f>
        <v/>
      </c>
      <c r="F285" s="4" t="str">
        <f aca="false">IF($A285="","",P6_Export!$C285)</f>
        <v/>
      </c>
      <c r="G285" s="4" t="str">
        <f aca="false">IF($A285="","",IF($D285="deterministic",0,ROUND(P6_Export!$C285*說明!$C$23,1)))</f>
        <v/>
      </c>
    </row>
    <row r="286" customFormat="false" ht="15" hidden="false" customHeight="false" outlineLevel="0" collapsed="false">
      <c r="A286" s="4" t="str">
        <f aca="false">IF(TRIM(P6_Export!A286)="","",TRIM(P6_Export!A286))</f>
        <v/>
      </c>
      <c r="B286" s="4" t="str">
        <f aca="false">IF($A286="","",P6_Export!B286)</f>
        <v/>
      </c>
      <c r="C286" s="4" t="str">
        <f aca="false">IF($A286="","",SUBSTITUTE(SUBSTITUTE(TRIM(P6_Export!D286)," ",""),",",";"))</f>
        <v/>
      </c>
      <c r="D286" s="4" t="str">
        <f aca="false">IF($A286="","",IF(P6_Export!$C286=0,"deterministic","triangular"))</f>
        <v/>
      </c>
      <c r="E286" s="4" t="str">
        <f aca="false">IF($A286="","",IF($D286="deterministic",0,ROUND(P6_Export!$C286*說明!$C$22,1)))</f>
        <v/>
      </c>
      <c r="F286" s="4" t="str">
        <f aca="false">IF($A286="","",P6_Export!$C286)</f>
        <v/>
      </c>
      <c r="G286" s="4" t="str">
        <f aca="false">IF($A286="","",IF($D286="deterministic",0,ROUND(P6_Export!$C286*說明!$C$23,1)))</f>
        <v/>
      </c>
    </row>
    <row r="287" customFormat="false" ht="15" hidden="false" customHeight="false" outlineLevel="0" collapsed="false">
      <c r="A287" s="4" t="str">
        <f aca="false">IF(TRIM(P6_Export!A287)="","",TRIM(P6_Export!A287))</f>
        <v/>
      </c>
      <c r="B287" s="4" t="str">
        <f aca="false">IF($A287="","",P6_Export!B287)</f>
        <v/>
      </c>
      <c r="C287" s="4" t="str">
        <f aca="false">IF($A287="","",SUBSTITUTE(SUBSTITUTE(TRIM(P6_Export!D287)," ",""),",",";"))</f>
        <v/>
      </c>
      <c r="D287" s="4" t="str">
        <f aca="false">IF($A287="","",IF(P6_Export!$C287=0,"deterministic","triangular"))</f>
        <v/>
      </c>
      <c r="E287" s="4" t="str">
        <f aca="false">IF($A287="","",IF($D287="deterministic",0,ROUND(P6_Export!$C287*說明!$C$22,1)))</f>
        <v/>
      </c>
      <c r="F287" s="4" t="str">
        <f aca="false">IF($A287="","",P6_Export!$C287)</f>
        <v/>
      </c>
      <c r="G287" s="4" t="str">
        <f aca="false">IF($A287="","",IF($D287="deterministic",0,ROUND(P6_Export!$C287*說明!$C$23,1)))</f>
        <v/>
      </c>
    </row>
    <row r="288" customFormat="false" ht="15" hidden="false" customHeight="false" outlineLevel="0" collapsed="false">
      <c r="A288" s="4" t="str">
        <f aca="false">IF(TRIM(P6_Export!A288)="","",TRIM(P6_Export!A288))</f>
        <v/>
      </c>
      <c r="B288" s="4" t="str">
        <f aca="false">IF($A288="","",P6_Export!B288)</f>
        <v/>
      </c>
      <c r="C288" s="4" t="str">
        <f aca="false">IF($A288="","",SUBSTITUTE(SUBSTITUTE(TRIM(P6_Export!D288)," ",""),",",";"))</f>
        <v/>
      </c>
      <c r="D288" s="4" t="str">
        <f aca="false">IF($A288="","",IF(P6_Export!$C288=0,"deterministic","triangular"))</f>
        <v/>
      </c>
      <c r="E288" s="4" t="str">
        <f aca="false">IF($A288="","",IF($D288="deterministic",0,ROUND(P6_Export!$C288*說明!$C$22,1)))</f>
        <v/>
      </c>
      <c r="F288" s="4" t="str">
        <f aca="false">IF($A288="","",P6_Export!$C288)</f>
        <v/>
      </c>
      <c r="G288" s="4" t="str">
        <f aca="false">IF($A288="","",IF($D288="deterministic",0,ROUND(P6_Export!$C288*說明!$C$23,1)))</f>
        <v/>
      </c>
    </row>
    <row r="289" customFormat="false" ht="15" hidden="false" customHeight="false" outlineLevel="0" collapsed="false">
      <c r="A289" s="4" t="str">
        <f aca="false">IF(TRIM(P6_Export!A289)="","",TRIM(P6_Export!A289))</f>
        <v/>
      </c>
      <c r="B289" s="4" t="str">
        <f aca="false">IF($A289="","",P6_Export!B289)</f>
        <v/>
      </c>
      <c r="C289" s="4" t="str">
        <f aca="false">IF($A289="","",SUBSTITUTE(SUBSTITUTE(TRIM(P6_Export!D289)," ",""),",",";"))</f>
        <v/>
      </c>
      <c r="D289" s="4" t="str">
        <f aca="false">IF($A289="","",IF(P6_Export!$C289=0,"deterministic","triangular"))</f>
        <v/>
      </c>
      <c r="E289" s="4" t="str">
        <f aca="false">IF($A289="","",IF($D289="deterministic",0,ROUND(P6_Export!$C289*說明!$C$22,1)))</f>
        <v/>
      </c>
      <c r="F289" s="4" t="str">
        <f aca="false">IF($A289="","",P6_Export!$C289)</f>
        <v/>
      </c>
      <c r="G289" s="4" t="str">
        <f aca="false">IF($A289="","",IF($D289="deterministic",0,ROUND(P6_Export!$C289*說明!$C$23,1)))</f>
        <v/>
      </c>
    </row>
    <row r="290" customFormat="false" ht="15" hidden="false" customHeight="false" outlineLevel="0" collapsed="false">
      <c r="A290" s="4" t="str">
        <f aca="false">IF(TRIM(P6_Export!A290)="","",TRIM(P6_Export!A290))</f>
        <v/>
      </c>
      <c r="B290" s="4" t="str">
        <f aca="false">IF($A290="","",P6_Export!B290)</f>
        <v/>
      </c>
      <c r="C290" s="4" t="str">
        <f aca="false">IF($A290="","",SUBSTITUTE(SUBSTITUTE(TRIM(P6_Export!D290)," ",""),",",";"))</f>
        <v/>
      </c>
      <c r="D290" s="4" t="str">
        <f aca="false">IF($A290="","",IF(P6_Export!$C290=0,"deterministic","triangular"))</f>
        <v/>
      </c>
      <c r="E290" s="4" t="str">
        <f aca="false">IF($A290="","",IF($D290="deterministic",0,ROUND(P6_Export!$C290*說明!$C$22,1)))</f>
        <v/>
      </c>
      <c r="F290" s="4" t="str">
        <f aca="false">IF($A290="","",P6_Export!$C290)</f>
        <v/>
      </c>
      <c r="G290" s="4" t="str">
        <f aca="false">IF($A290="","",IF($D290="deterministic",0,ROUND(P6_Export!$C290*說明!$C$23,1)))</f>
        <v/>
      </c>
    </row>
    <row r="291" customFormat="false" ht="15" hidden="false" customHeight="false" outlineLevel="0" collapsed="false">
      <c r="A291" s="4" t="str">
        <f aca="false">IF(TRIM(P6_Export!A291)="","",TRIM(P6_Export!A291))</f>
        <v/>
      </c>
      <c r="B291" s="4" t="str">
        <f aca="false">IF($A291="","",P6_Export!B291)</f>
        <v/>
      </c>
      <c r="C291" s="4" t="str">
        <f aca="false">IF($A291="","",SUBSTITUTE(SUBSTITUTE(TRIM(P6_Export!D291)," ",""),",",";"))</f>
        <v/>
      </c>
      <c r="D291" s="4" t="str">
        <f aca="false">IF($A291="","",IF(P6_Export!$C291=0,"deterministic","triangular"))</f>
        <v/>
      </c>
      <c r="E291" s="4" t="str">
        <f aca="false">IF($A291="","",IF($D291="deterministic",0,ROUND(P6_Export!$C291*說明!$C$22,1)))</f>
        <v/>
      </c>
      <c r="F291" s="4" t="str">
        <f aca="false">IF($A291="","",P6_Export!$C291)</f>
        <v/>
      </c>
      <c r="G291" s="4" t="str">
        <f aca="false">IF($A291="","",IF($D291="deterministic",0,ROUND(P6_Export!$C291*說明!$C$23,1)))</f>
        <v/>
      </c>
    </row>
    <row r="292" customFormat="false" ht="15" hidden="false" customHeight="false" outlineLevel="0" collapsed="false">
      <c r="A292" s="4" t="str">
        <f aca="false">IF(TRIM(P6_Export!A292)="","",TRIM(P6_Export!A292))</f>
        <v/>
      </c>
      <c r="B292" s="4" t="str">
        <f aca="false">IF($A292="","",P6_Export!B292)</f>
        <v/>
      </c>
      <c r="C292" s="4" t="str">
        <f aca="false">IF($A292="","",SUBSTITUTE(SUBSTITUTE(TRIM(P6_Export!D292)," ",""),",",";"))</f>
        <v/>
      </c>
      <c r="D292" s="4" t="str">
        <f aca="false">IF($A292="","",IF(P6_Export!$C292=0,"deterministic","triangular"))</f>
        <v/>
      </c>
      <c r="E292" s="4" t="str">
        <f aca="false">IF($A292="","",IF($D292="deterministic",0,ROUND(P6_Export!$C292*說明!$C$22,1)))</f>
        <v/>
      </c>
      <c r="F292" s="4" t="str">
        <f aca="false">IF($A292="","",P6_Export!$C292)</f>
        <v/>
      </c>
      <c r="G292" s="4" t="str">
        <f aca="false">IF($A292="","",IF($D292="deterministic",0,ROUND(P6_Export!$C292*說明!$C$23,1)))</f>
        <v/>
      </c>
    </row>
    <row r="293" customFormat="false" ht="15" hidden="false" customHeight="false" outlineLevel="0" collapsed="false">
      <c r="A293" s="4" t="str">
        <f aca="false">IF(TRIM(P6_Export!A293)="","",TRIM(P6_Export!A293))</f>
        <v/>
      </c>
      <c r="B293" s="4" t="str">
        <f aca="false">IF($A293="","",P6_Export!B293)</f>
        <v/>
      </c>
      <c r="C293" s="4" t="str">
        <f aca="false">IF($A293="","",SUBSTITUTE(SUBSTITUTE(TRIM(P6_Export!D293)," ",""),",",";"))</f>
        <v/>
      </c>
      <c r="D293" s="4" t="str">
        <f aca="false">IF($A293="","",IF(P6_Export!$C293=0,"deterministic","triangular"))</f>
        <v/>
      </c>
      <c r="E293" s="4" t="str">
        <f aca="false">IF($A293="","",IF($D293="deterministic",0,ROUND(P6_Export!$C293*說明!$C$22,1)))</f>
        <v/>
      </c>
      <c r="F293" s="4" t="str">
        <f aca="false">IF($A293="","",P6_Export!$C293)</f>
        <v/>
      </c>
      <c r="G293" s="4" t="str">
        <f aca="false">IF($A293="","",IF($D293="deterministic",0,ROUND(P6_Export!$C293*說明!$C$23,1)))</f>
        <v/>
      </c>
    </row>
    <row r="294" customFormat="false" ht="15" hidden="false" customHeight="false" outlineLevel="0" collapsed="false">
      <c r="A294" s="4" t="str">
        <f aca="false">IF(TRIM(P6_Export!A294)="","",TRIM(P6_Export!A294))</f>
        <v/>
      </c>
      <c r="B294" s="4" t="str">
        <f aca="false">IF($A294="","",P6_Export!B294)</f>
        <v/>
      </c>
      <c r="C294" s="4" t="str">
        <f aca="false">IF($A294="","",SUBSTITUTE(SUBSTITUTE(TRIM(P6_Export!D294)," ",""),",",";"))</f>
        <v/>
      </c>
      <c r="D294" s="4" t="str">
        <f aca="false">IF($A294="","",IF(P6_Export!$C294=0,"deterministic","triangular"))</f>
        <v/>
      </c>
      <c r="E294" s="4" t="str">
        <f aca="false">IF($A294="","",IF($D294="deterministic",0,ROUND(P6_Export!$C294*說明!$C$22,1)))</f>
        <v/>
      </c>
      <c r="F294" s="4" t="str">
        <f aca="false">IF($A294="","",P6_Export!$C294)</f>
        <v/>
      </c>
      <c r="G294" s="4" t="str">
        <f aca="false">IF($A294="","",IF($D294="deterministic",0,ROUND(P6_Export!$C294*說明!$C$23,1)))</f>
        <v/>
      </c>
    </row>
    <row r="295" customFormat="false" ht="15" hidden="false" customHeight="false" outlineLevel="0" collapsed="false">
      <c r="A295" s="4" t="str">
        <f aca="false">IF(TRIM(P6_Export!A295)="","",TRIM(P6_Export!A295))</f>
        <v/>
      </c>
      <c r="B295" s="4" t="str">
        <f aca="false">IF($A295="","",P6_Export!B295)</f>
        <v/>
      </c>
      <c r="C295" s="4" t="str">
        <f aca="false">IF($A295="","",SUBSTITUTE(SUBSTITUTE(TRIM(P6_Export!D295)," ",""),",",";"))</f>
        <v/>
      </c>
      <c r="D295" s="4" t="str">
        <f aca="false">IF($A295="","",IF(P6_Export!$C295=0,"deterministic","triangular"))</f>
        <v/>
      </c>
      <c r="E295" s="4" t="str">
        <f aca="false">IF($A295="","",IF($D295="deterministic",0,ROUND(P6_Export!$C295*說明!$C$22,1)))</f>
        <v/>
      </c>
      <c r="F295" s="4" t="str">
        <f aca="false">IF($A295="","",P6_Export!$C295)</f>
        <v/>
      </c>
      <c r="G295" s="4" t="str">
        <f aca="false">IF($A295="","",IF($D295="deterministic",0,ROUND(P6_Export!$C295*說明!$C$23,1)))</f>
        <v/>
      </c>
    </row>
    <row r="296" customFormat="false" ht="15" hidden="false" customHeight="false" outlineLevel="0" collapsed="false">
      <c r="A296" s="4" t="str">
        <f aca="false">IF(TRIM(P6_Export!A296)="","",TRIM(P6_Export!A296))</f>
        <v/>
      </c>
      <c r="B296" s="4" t="str">
        <f aca="false">IF($A296="","",P6_Export!B296)</f>
        <v/>
      </c>
      <c r="C296" s="4" t="str">
        <f aca="false">IF($A296="","",SUBSTITUTE(SUBSTITUTE(TRIM(P6_Export!D296)," ",""),",",";"))</f>
        <v/>
      </c>
      <c r="D296" s="4" t="str">
        <f aca="false">IF($A296="","",IF(P6_Export!$C296=0,"deterministic","triangular"))</f>
        <v/>
      </c>
      <c r="E296" s="4" t="str">
        <f aca="false">IF($A296="","",IF($D296="deterministic",0,ROUND(P6_Export!$C296*說明!$C$22,1)))</f>
        <v/>
      </c>
      <c r="F296" s="4" t="str">
        <f aca="false">IF($A296="","",P6_Export!$C296)</f>
        <v/>
      </c>
      <c r="G296" s="4" t="str">
        <f aca="false">IF($A296="","",IF($D296="deterministic",0,ROUND(P6_Export!$C296*說明!$C$23,1)))</f>
        <v/>
      </c>
    </row>
    <row r="297" customFormat="false" ht="15" hidden="false" customHeight="false" outlineLevel="0" collapsed="false">
      <c r="A297" s="4" t="str">
        <f aca="false">IF(TRIM(P6_Export!A297)="","",TRIM(P6_Export!A297))</f>
        <v/>
      </c>
      <c r="B297" s="4" t="str">
        <f aca="false">IF($A297="","",P6_Export!B297)</f>
        <v/>
      </c>
      <c r="C297" s="4" t="str">
        <f aca="false">IF($A297="","",SUBSTITUTE(SUBSTITUTE(TRIM(P6_Export!D297)," ",""),",",";"))</f>
        <v/>
      </c>
      <c r="D297" s="4" t="str">
        <f aca="false">IF($A297="","",IF(P6_Export!$C297=0,"deterministic","triangular"))</f>
        <v/>
      </c>
      <c r="E297" s="4" t="str">
        <f aca="false">IF($A297="","",IF($D297="deterministic",0,ROUND(P6_Export!$C297*說明!$C$22,1)))</f>
        <v/>
      </c>
      <c r="F297" s="4" t="str">
        <f aca="false">IF($A297="","",P6_Export!$C297)</f>
        <v/>
      </c>
      <c r="G297" s="4" t="str">
        <f aca="false">IF($A297="","",IF($D297="deterministic",0,ROUND(P6_Export!$C297*說明!$C$23,1)))</f>
        <v/>
      </c>
    </row>
    <row r="298" customFormat="false" ht="15" hidden="false" customHeight="false" outlineLevel="0" collapsed="false">
      <c r="A298" s="4" t="str">
        <f aca="false">IF(TRIM(P6_Export!A298)="","",TRIM(P6_Export!A298))</f>
        <v/>
      </c>
      <c r="B298" s="4" t="str">
        <f aca="false">IF($A298="","",P6_Export!B298)</f>
        <v/>
      </c>
      <c r="C298" s="4" t="str">
        <f aca="false">IF($A298="","",SUBSTITUTE(SUBSTITUTE(TRIM(P6_Export!D298)," ",""),",",";"))</f>
        <v/>
      </c>
      <c r="D298" s="4" t="str">
        <f aca="false">IF($A298="","",IF(P6_Export!$C298=0,"deterministic","triangular"))</f>
        <v/>
      </c>
      <c r="E298" s="4" t="str">
        <f aca="false">IF($A298="","",IF($D298="deterministic",0,ROUND(P6_Export!$C298*說明!$C$22,1)))</f>
        <v/>
      </c>
      <c r="F298" s="4" t="str">
        <f aca="false">IF($A298="","",P6_Export!$C298)</f>
        <v/>
      </c>
      <c r="G298" s="4" t="str">
        <f aca="false">IF($A298="","",IF($D298="deterministic",0,ROUND(P6_Export!$C298*說明!$C$23,1)))</f>
        <v/>
      </c>
    </row>
    <row r="299" customFormat="false" ht="15" hidden="false" customHeight="false" outlineLevel="0" collapsed="false">
      <c r="A299" s="4" t="str">
        <f aca="false">IF(TRIM(P6_Export!A299)="","",TRIM(P6_Export!A299))</f>
        <v/>
      </c>
      <c r="B299" s="4" t="str">
        <f aca="false">IF($A299="","",P6_Export!B299)</f>
        <v/>
      </c>
      <c r="C299" s="4" t="str">
        <f aca="false">IF($A299="","",SUBSTITUTE(SUBSTITUTE(TRIM(P6_Export!D299)," ",""),",",";"))</f>
        <v/>
      </c>
      <c r="D299" s="4" t="str">
        <f aca="false">IF($A299="","",IF(P6_Export!$C299=0,"deterministic","triangular"))</f>
        <v/>
      </c>
      <c r="E299" s="4" t="str">
        <f aca="false">IF($A299="","",IF($D299="deterministic",0,ROUND(P6_Export!$C299*說明!$C$22,1)))</f>
        <v/>
      </c>
      <c r="F299" s="4" t="str">
        <f aca="false">IF($A299="","",P6_Export!$C299)</f>
        <v/>
      </c>
      <c r="G299" s="4" t="str">
        <f aca="false">IF($A299="","",IF($D299="deterministic",0,ROUND(P6_Export!$C299*說明!$C$23,1)))</f>
        <v/>
      </c>
    </row>
    <row r="300" customFormat="false" ht="15" hidden="false" customHeight="false" outlineLevel="0" collapsed="false">
      <c r="A300" s="4" t="str">
        <f aca="false">IF(TRIM(P6_Export!A300)="","",TRIM(P6_Export!A300))</f>
        <v/>
      </c>
      <c r="B300" s="4" t="str">
        <f aca="false">IF($A300="","",P6_Export!B300)</f>
        <v/>
      </c>
      <c r="C300" s="4" t="str">
        <f aca="false">IF($A300="","",SUBSTITUTE(SUBSTITUTE(TRIM(P6_Export!D300)," ",""),",",";"))</f>
        <v/>
      </c>
      <c r="D300" s="4" t="str">
        <f aca="false">IF($A300="","",IF(P6_Export!$C300=0,"deterministic","triangular"))</f>
        <v/>
      </c>
      <c r="E300" s="4" t="str">
        <f aca="false">IF($A300="","",IF($D300="deterministic",0,ROUND(P6_Export!$C300*說明!$C$22,1)))</f>
        <v/>
      </c>
      <c r="F300" s="4" t="str">
        <f aca="false">IF($A300="","",P6_Export!$C300)</f>
        <v/>
      </c>
      <c r="G300" s="4" t="str">
        <f aca="false">IF($A300="","",IF($D300="deterministic",0,ROUND(P6_Export!$C300*說明!$C$23,1)))</f>
        <v/>
      </c>
    </row>
    <row r="301" customFormat="false" ht="15" hidden="false" customHeight="false" outlineLevel="0" collapsed="false">
      <c r="A301" s="4" t="str">
        <f aca="false">IF(TRIM(P6_Export!A301)="","",TRIM(P6_Export!A301))</f>
        <v/>
      </c>
      <c r="B301" s="4" t="str">
        <f aca="false">IF($A301="","",P6_Export!B301)</f>
        <v/>
      </c>
      <c r="C301" s="4" t="str">
        <f aca="false">IF($A301="","",SUBSTITUTE(SUBSTITUTE(TRIM(P6_Export!D301)," ",""),",",";"))</f>
        <v/>
      </c>
      <c r="D301" s="4" t="str">
        <f aca="false">IF($A301="","",IF(P6_Export!$C301=0,"deterministic","triangular"))</f>
        <v/>
      </c>
      <c r="E301" s="4" t="str">
        <f aca="false">IF($A301="","",IF($D301="deterministic",0,ROUND(P6_Export!$C301*說明!$C$22,1)))</f>
        <v/>
      </c>
      <c r="F301" s="4" t="str">
        <f aca="false">IF($A301="","",P6_Export!$C301)</f>
        <v/>
      </c>
      <c r="G301" s="4" t="str">
        <f aca="false">IF($A301="","",IF($D301="deterministic",0,ROUND(P6_Export!$C301*說明!$C$23,1)))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7" min="5" style="0" width="9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customFormat="false" ht="15" hidden="false" customHeight="false" outlineLevel="0" collapsed="false">
      <c r="A2" s="5" t="s">
        <v>36</v>
      </c>
      <c r="B2" s="5" t="s">
        <v>37</v>
      </c>
      <c r="C2" s="5" t="n">
        <v>0.35</v>
      </c>
      <c r="D2" s="5" t="s">
        <v>38</v>
      </c>
      <c r="E2" s="5" t="n">
        <v>1</v>
      </c>
      <c r="F2" s="5" t="n">
        <v>1.4</v>
      </c>
      <c r="G2" s="5" t="n">
        <v>1.15</v>
      </c>
      <c r="H2" s="5" t="s">
        <v>39</v>
      </c>
    </row>
    <row r="3" customFormat="false" ht="15" hidden="false" customHeight="false" outlineLevel="0" collapsed="false">
      <c r="A3" s="5" t="s">
        <v>40</v>
      </c>
      <c r="B3" s="5" t="s">
        <v>41</v>
      </c>
      <c r="C3" s="5" t="n">
        <v>0.25</v>
      </c>
      <c r="D3" s="5" t="s">
        <v>38</v>
      </c>
      <c r="E3" s="5" t="n">
        <v>1</v>
      </c>
      <c r="F3" s="5" t="n">
        <v>1.3</v>
      </c>
      <c r="G3" s="5" t="n">
        <v>1.1</v>
      </c>
      <c r="H3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12"/>
    <col collapsed="false" customWidth="true" hidden="false" outlineLevel="0" max="4" min="4" style="0" width="60"/>
  </cols>
  <sheetData>
    <row r="2" customFormat="false" ht="21.6" hidden="false" customHeight="false" outlineLevel="0" collapsed="false">
      <c r="B2" s="6" t="s">
        <v>43</v>
      </c>
    </row>
    <row r="4" customFormat="false" ht="17.15" hidden="false" customHeight="false" outlineLevel="0" collapsed="false">
      <c r="B4" s="7" t="s">
        <v>44</v>
      </c>
    </row>
    <row r="5" customFormat="false" ht="15" hidden="false" customHeight="false" outlineLevel="0" collapsed="false">
      <c r="B5" s="8" t="s">
        <v>45</v>
      </c>
    </row>
    <row r="6" customFormat="false" ht="15" hidden="false" customHeight="false" outlineLevel="0" collapsed="false">
      <c r="B6" s="8" t="s">
        <v>46</v>
      </c>
    </row>
    <row r="7" customFormat="false" ht="15" hidden="false" customHeight="false" outlineLevel="0" collapsed="false">
      <c r="B7" s="8" t="s">
        <v>47</v>
      </c>
    </row>
    <row r="8" customFormat="false" ht="15" hidden="false" customHeight="false" outlineLevel="0" collapsed="false">
      <c r="B8" s="3" t="s">
        <v>48</v>
      </c>
    </row>
    <row r="9" customFormat="false" ht="15" hidden="false" customHeight="false" outlineLevel="0" collapsed="false">
      <c r="B9" s="8" t="s">
        <v>49</v>
      </c>
    </row>
    <row r="10" customFormat="false" ht="15" hidden="false" customHeight="false" outlineLevel="0" collapsed="false">
      <c r="B10" s="8" t="s">
        <v>50</v>
      </c>
    </row>
    <row r="12" customFormat="false" ht="17.15" hidden="false" customHeight="false" outlineLevel="0" collapsed="false">
      <c r="B12" s="9" t="s">
        <v>51</v>
      </c>
    </row>
    <row r="13" customFormat="false" ht="15" hidden="false" customHeight="false" outlineLevel="0" collapsed="false">
      <c r="B13" s="3" t="s">
        <v>52</v>
      </c>
    </row>
    <row r="14" customFormat="false" ht="15" hidden="false" customHeight="false" outlineLevel="0" collapsed="false">
      <c r="B14" s="3" t="s">
        <v>53</v>
      </c>
    </row>
    <row r="15" customFormat="false" ht="15" hidden="false" customHeight="false" outlineLevel="0" collapsed="false">
      <c r="B15" s="3" t="s">
        <v>54</v>
      </c>
    </row>
    <row r="17" customFormat="false" ht="15" hidden="false" customHeight="false" outlineLevel="0" collapsed="false">
      <c r="B17" s="7" t="s">
        <v>55</v>
      </c>
    </row>
    <row r="18" customFormat="false" ht="15" hidden="false" customHeight="false" outlineLevel="0" collapsed="false">
      <c r="B18" s="3" t="s">
        <v>56</v>
      </c>
    </row>
    <row r="19" customFormat="false" ht="15" hidden="false" customHeight="false" outlineLevel="0" collapsed="false">
      <c r="B19" s="3" t="s">
        <v>57</v>
      </c>
    </row>
    <row r="20" customFormat="false" ht="15" hidden="false" customHeight="false" outlineLevel="0" collapsed="false">
      <c r="B20" s="3" t="s">
        <v>58</v>
      </c>
    </row>
    <row r="21" customFormat="false" ht="15" hidden="false" customHeight="false" outlineLevel="0" collapsed="false">
      <c r="B21" s="3" t="s">
        <v>59</v>
      </c>
    </row>
    <row r="22" customFormat="false" ht="17.15" hidden="false" customHeight="false" outlineLevel="0" collapsed="false">
      <c r="B22" s="10" t="s">
        <v>60</v>
      </c>
      <c r="C22" s="11" t="n">
        <v>0.9</v>
      </c>
      <c r="D22" s="3" t="s">
        <v>61</v>
      </c>
    </row>
    <row r="23" customFormat="false" ht="17.15" hidden="false" customHeight="false" outlineLevel="0" collapsed="false">
      <c r="B23" s="10" t="s">
        <v>62</v>
      </c>
      <c r="C23" s="11" t="n">
        <v>1.3</v>
      </c>
      <c r="D23" s="3" t="s">
        <v>63</v>
      </c>
    </row>
    <row r="25" customFormat="false" ht="15" hidden="false" customHeight="false" outlineLevel="0" collapsed="false">
      <c r="B25" s="3" t="s">
        <v>64</v>
      </c>
    </row>
    <row r="26" customFormat="false" ht="15" hidden="false" customHeight="false" outlineLevel="0" collapsed="false">
      <c r="B26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2026-06-12T13:36:10Z</dcterms:created>
  <dc:creator>openpyxl</dc:creator>
  <dc:description/>
  <dc:language>en-US</dc:language>
  <cp:lastModifiedBy/>
  <dcterms:modified xsi:type="dcterms:W3CDTF">2026-06-12T13:36:10Z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